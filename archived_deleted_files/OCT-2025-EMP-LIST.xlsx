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1. COMPANIES\AMBE SERVICE\1.AMBE_SERVICE-2025-26\"/>
    </mc:Choice>
  </mc:AlternateContent>
  <xr:revisionPtr revIDLastSave="0" documentId="13_ncr:1_{D71868BC-3938-4F2A-A118-61D6E21D7182}" xr6:coauthVersionLast="47" xr6:coauthVersionMax="47" xr10:uidLastSave="{00000000-0000-0000-0000-000000000000}"/>
  <bookViews>
    <workbookView xWindow="-108" yWindow="-108" windowWidth="23256" windowHeight="12456" tabRatio="790" firstSheet="5" activeTab="11" xr2:uid="{00000000-000D-0000-FFFF-FFFF00000000}"/>
  </bookViews>
  <sheets>
    <sheet name="Royal eksar" sheetId="4" r:id="rId1"/>
    <sheet name="Shreeya" sheetId="5" r:id="rId2"/>
    <sheet name="Sanjay Puri" sheetId="1" r:id="rId3"/>
    <sheet name="AMBE OFFICE - STAFF SAL" sheetId="7" r:id="rId4"/>
    <sheet name="Ruparel_elra (2)" sheetId="19" r:id="rId5"/>
    <sheet name="Common washroom" sheetId="10" r:id="rId6"/>
    <sheet name="Min_CHS" sheetId="26" r:id="rId7"/>
    <sheet name="Ceejay" sheetId="24" r:id="rId8"/>
    <sheet name="Min_LO" sheetId="27" r:id="rId9"/>
    <sheet name="Palacio" sheetId="14" r:id="rId10"/>
    <sheet name="ACME" sheetId="23" r:id="rId11"/>
    <sheet name="Bp_infra " sheetId="25" r:id="rId12"/>
    <sheet name="Min_SALES OFFICE" sheetId="28" r:id="rId13"/>
    <sheet name="AMBE-ROUNDER" sheetId="29" r:id="rId14"/>
    <sheet name="AMBE-ROUNDER - updated " sheetId="32" r:id="rId15"/>
  </sheets>
  <calcPr calcId="191029"/>
  <extLst>
    <ext uri="GoogleSheetsCustomDataVersion2">
      <go:sheetsCustomData xmlns:go="http://customooxmlschemas.google.com/" r:id="rId20" roundtripDataChecksum="yhKfClfDbxezjhUbgjcO6CTqOYF1R2qKYdU8HamAaNU="/>
    </ext>
  </extLst>
</workbook>
</file>

<file path=xl/calcChain.xml><?xml version="1.0" encoding="utf-8"?>
<calcChain xmlns="http://schemas.openxmlformats.org/spreadsheetml/2006/main">
  <c r="AH27" i="25" l="1"/>
  <c r="J17" i="25"/>
  <c r="J11" i="25"/>
  <c r="AF17" i="23"/>
  <c r="S10" i="24" l="1"/>
  <c r="R10" i="24"/>
  <c r="P15" i="29" l="1"/>
  <c r="F15" i="29"/>
  <c r="E15" i="29"/>
  <c r="AA15" i="29" l="1"/>
  <c r="AC15" i="29" s="1"/>
  <c r="M15" i="29"/>
  <c r="Q15" i="29"/>
  <c r="Q15" i="24"/>
  <c r="Q13" i="24"/>
  <c r="Q10" i="24"/>
  <c r="O15" i="24"/>
  <c r="O13" i="24"/>
  <c r="O10" i="24"/>
  <c r="O17" i="24"/>
  <c r="R15" i="29" l="1"/>
  <c r="S15" i="29" s="1"/>
  <c r="AF15" i="29" s="1"/>
  <c r="AD11" i="7" l="1"/>
  <c r="N11" i="7"/>
  <c r="E11" i="7"/>
  <c r="Z12" i="1"/>
  <c r="AB12" i="1" s="1"/>
  <c r="G12" i="1"/>
  <c r="P12" i="1"/>
  <c r="M12" i="1"/>
  <c r="O12" i="1" l="1"/>
  <c r="Q12" i="1" s="1"/>
  <c r="AE12" i="1" s="1"/>
  <c r="AB15" i="5"/>
  <c r="AB15" i="4"/>
  <c r="O10" i="19"/>
  <c r="O14" i="19"/>
  <c r="O12" i="19"/>
  <c r="F12" i="19"/>
  <c r="F14" i="19"/>
  <c r="AC10" i="14"/>
  <c r="P15" i="14"/>
  <c r="P12" i="14"/>
  <c r="AC18" i="14"/>
  <c r="AB18" i="5"/>
  <c r="O21" i="5"/>
  <c r="O14" i="5"/>
  <c r="O13" i="5"/>
  <c r="O12" i="5"/>
  <c r="O10" i="5"/>
  <c r="O18" i="5"/>
  <c r="M18" i="5"/>
  <c r="M12" i="5"/>
  <c r="M13" i="5"/>
  <c r="M14" i="5"/>
  <c r="M10" i="5"/>
  <c r="T13" i="26" l="1"/>
  <c r="T10" i="26"/>
  <c r="N16" i="27"/>
  <c r="N14" i="27"/>
  <c r="N12" i="27"/>
  <c r="N10" i="27"/>
  <c r="R24" i="26"/>
  <c r="T24" i="26" s="1"/>
  <c r="T22" i="26"/>
  <c r="P10" i="26"/>
  <c r="G15" i="1"/>
  <c r="Z15" i="1"/>
  <c r="AB15" i="1" s="1"/>
  <c r="P15" i="1"/>
  <c r="M15" i="1"/>
  <c r="AB14" i="28"/>
  <c r="O23" i="23"/>
  <c r="O15" i="1" l="1"/>
  <c r="Q15" i="1" s="1"/>
  <c r="AE15" i="1" s="1"/>
  <c r="AC17" i="25"/>
  <c r="AE17" i="25" s="1"/>
  <c r="AB12" i="28"/>
  <c r="AD12" i="28" s="1"/>
  <c r="R12" i="28"/>
  <c r="O12" i="28"/>
  <c r="Q12" i="28" s="1"/>
  <c r="S12" i="28" l="1"/>
  <c r="AG12" i="28" s="1"/>
  <c r="AA17" i="24" l="1"/>
  <c r="M11" i="32" l="1"/>
  <c r="AD14" i="28"/>
  <c r="AA16" i="32" l="1"/>
  <c r="AC16" i="32" s="1"/>
  <c r="M16" i="32"/>
  <c r="F16" i="32"/>
  <c r="R16" i="32" s="1"/>
  <c r="E16" i="32"/>
  <c r="AA11" i="32"/>
  <c r="AC11" i="32" s="1"/>
  <c r="F11" i="32"/>
  <c r="Q11" i="32" s="1"/>
  <c r="E11" i="32"/>
  <c r="E11" i="29"/>
  <c r="E13" i="29"/>
  <c r="P16" i="32" l="1"/>
  <c r="P11" i="32"/>
  <c r="Q16" i="32"/>
  <c r="S16" i="32" s="1"/>
  <c r="R11" i="32"/>
  <c r="AE11" i="29"/>
  <c r="F13" i="29"/>
  <c r="R13" i="29" s="1"/>
  <c r="AA13" i="29"/>
  <c r="AC13" i="29" s="1"/>
  <c r="M13" i="29"/>
  <c r="S11" i="32" l="1"/>
  <c r="AF11" i="32" s="1"/>
  <c r="AF13" i="32" s="1"/>
  <c r="AF16" i="32"/>
  <c r="AF18" i="32" s="1"/>
  <c r="P13" i="29"/>
  <c r="Q13" i="29"/>
  <c r="S13" i="29" l="1"/>
  <c r="AF13" i="29" s="1"/>
  <c r="F25" i="23"/>
  <c r="E25" i="23"/>
  <c r="AA25" i="23"/>
  <c r="AC25" i="23" s="1"/>
  <c r="O25" i="23"/>
  <c r="Q25" i="23" l="1"/>
  <c r="R25" i="23"/>
  <c r="S25" i="23" l="1"/>
  <c r="AF25" i="23" s="1"/>
  <c r="X12" i="27"/>
  <c r="Z12" i="27" s="1"/>
  <c r="AB24" i="26"/>
  <c r="AD24" i="26" s="1"/>
  <c r="F19" i="23" l="1"/>
  <c r="E19" i="23"/>
  <c r="R19" i="23" s="1"/>
  <c r="AA19" i="23"/>
  <c r="AC19" i="23" s="1"/>
  <c r="O19" i="23"/>
  <c r="G17" i="28"/>
  <c r="AB17" i="28"/>
  <c r="AD17" i="28" s="1"/>
  <c r="R17" i="28"/>
  <c r="O17" i="28"/>
  <c r="Q19" i="23" l="1"/>
  <c r="S19" i="23" s="1"/>
  <c r="AF19" i="23" s="1"/>
  <c r="Q17" i="28"/>
  <c r="S17" i="28" s="1"/>
  <c r="AG17" i="28" s="1"/>
  <c r="F14" i="5" l="1"/>
  <c r="N14" i="5" s="1"/>
  <c r="E14" i="5"/>
  <c r="W14" i="5"/>
  <c r="Y14" i="5" s="1"/>
  <c r="K14" i="5"/>
  <c r="AA11" i="29"/>
  <c r="AB14" i="5" l="1"/>
  <c r="M11" i="29"/>
  <c r="P11" i="29" s="1"/>
  <c r="F11" i="29"/>
  <c r="Q11" i="29" s="1"/>
  <c r="AC11" i="29"/>
  <c r="R11" i="29" l="1"/>
  <c r="S11" i="29" s="1"/>
  <c r="AF11" i="29" s="1"/>
  <c r="G22" i="26" l="1"/>
  <c r="AB28" i="28" l="1"/>
  <c r="AD28" i="28" s="1"/>
  <c r="R28" i="28"/>
  <c r="O28" i="28"/>
  <c r="G28" i="28"/>
  <c r="AB24" i="28"/>
  <c r="R24" i="28"/>
  <c r="O24" i="28"/>
  <c r="G24" i="28"/>
  <c r="AB20" i="28"/>
  <c r="AD20" i="28" s="1"/>
  <c r="R20" i="28"/>
  <c r="O20" i="28"/>
  <c r="G20" i="28"/>
  <c r="R14" i="28"/>
  <c r="O14" i="28"/>
  <c r="G14" i="28"/>
  <c r="AB10" i="28"/>
  <c r="AD10" i="28" s="1"/>
  <c r="R10" i="28"/>
  <c r="O10" i="28"/>
  <c r="G10" i="28"/>
  <c r="E10" i="27"/>
  <c r="O10" i="27" s="1"/>
  <c r="F10" i="27"/>
  <c r="L10" i="27"/>
  <c r="X10" i="27"/>
  <c r="Z10" i="27"/>
  <c r="E12" i="27"/>
  <c r="F12" i="27"/>
  <c r="O12" i="27" s="1"/>
  <c r="L12" i="27"/>
  <c r="E14" i="27"/>
  <c r="O14" i="27" s="1"/>
  <c r="F14" i="27"/>
  <c r="L14" i="27"/>
  <c r="X14" i="27"/>
  <c r="Z14" i="27" s="1"/>
  <c r="E16" i="27"/>
  <c r="F16" i="27"/>
  <c r="L16" i="27"/>
  <c r="X16" i="27"/>
  <c r="Z16" i="27" s="1"/>
  <c r="G10" i="26"/>
  <c r="R10" i="26" s="1"/>
  <c r="S10" i="26"/>
  <c r="AB10" i="26"/>
  <c r="AD10" i="26" s="1"/>
  <c r="G13" i="26"/>
  <c r="P13" i="26"/>
  <c r="R13" i="26" s="1"/>
  <c r="S13" i="26"/>
  <c r="AB13" i="26"/>
  <c r="AD13" i="26" s="1"/>
  <c r="G15" i="26"/>
  <c r="P15" i="26"/>
  <c r="R15" i="26" s="1"/>
  <c r="S15" i="26"/>
  <c r="AB15" i="26"/>
  <c r="AD15" i="26" s="1"/>
  <c r="G17" i="26"/>
  <c r="P17" i="26"/>
  <c r="S17" i="26"/>
  <c r="AB17" i="26"/>
  <c r="AD17" i="26" s="1"/>
  <c r="G19" i="26"/>
  <c r="P19" i="26"/>
  <c r="S19" i="26"/>
  <c r="AB19" i="26"/>
  <c r="AD19" i="26" s="1"/>
  <c r="P22" i="26"/>
  <c r="S22" i="26"/>
  <c r="AB22" i="26"/>
  <c r="AD22" i="26" s="1"/>
  <c r="G24" i="26"/>
  <c r="P24" i="26"/>
  <c r="S24" i="26"/>
  <c r="Q20" i="28" l="1"/>
  <c r="S20" i="28" s="1"/>
  <c r="AG20" i="28" s="1"/>
  <c r="Q28" i="28"/>
  <c r="S28" i="28" s="1"/>
  <c r="AG28" i="28" s="1"/>
  <c r="Q24" i="28"/>
  <c r="S24" i="28" s="1"/>
  <c r="AG24" i="28" s="1"/>
  <c r="Q10" i="28"/>
  <c r="S10" i="28" s="1"/>
  <c r="AG10" i="28" s="1"/>
  <c r="Q14" i="28"/>
  <c r="S14" i="28" s="1"/>
  <c r="AG14" i="28" s="1"/>
  <c r="P10" i="27"/>
  <c r="AC10" i="27" s="1"/>
  <c r="O16" i="27"/>
  <c r="R19" i="26"/>
  <c r="T19" i="26" s="1"/>
  <c r="AG19" i="26" s="1"/>
  <c r="T15" i="26"/>
  <c r="R17" i="26"/>
  <c r="T17" i="26" s="1"/>
  <c r="AG17" i="26" s="1"/>
  <c r="AG13" i="26"/>
  <c r="P14" i="27"/>
  <c r="AC14" i="27" s="1"/>
  <c r="P12" i="27"/>
  <c r="AC12" i="27" s="1"/>
  <c r="R22" i="26"/>
  <c r="AG22" i="26" s="1"/>
  <c r="AG24" i="26"/>
  <c r="P16" i="27" l="1"/>
  <c r="AG10" i="26"/>
  <c r="S33" i="28"/>
  <c r="T28" i="26"/>
  <c r="AC16" i="27"/>
  <c r="AC18" i="27" s="1"/>
  <c r="P18" i="27"/>
  <c r="AG15" i="26"/>
  <c r="AG33" i="28"/>
  <c r="T30" i="26" l="1"/>
  <c r="AG28" i="26"/>
  <c r="F23" i="25" l="1"/>
  <c r="S23" i="25" s="1"/>
  <c r="G23" i="25"/>
  <c r="P23" i="25"/>
  <c r="AC23" i="25"/>
  <c r="AE23" i="25" s="1"/>
  <c r="F11" i="25"/>
  <c r="S11" i="25" s="1"/>
  <c r="G11" i="25"/>
  <c r="P11" i="25"/>
  <c r="AC11" i="25"/>
  <c r="AE11" i="25" s="1"/>
  <c r="F15" i="25"/>
  <c r="S15" i="25" s="1"/>
  <c r="G15" i="25"/>
  <c r="P15" i="25"/>
  <c r="AC15" i="25"/>
  <c r="AE15" i="25" s="1"/>
  <c r="F13" i="25"/>
  <c r="S13" i="25" s="1"/>
  <c r="G13" i="25"/>
  <c r="P13" i="25"/>
  <c r="AC13" i="25"/>
  <c r="AE13" i="25" s="1"/>
  <c r="F25" i="25"/>
  <c r="S25" i="25" s="1"/>
  <c r="G25" i="25"/>
  <c r="P25" i="25"/>
  <c r="AC25" i="25"/>
  <c r="AE25" i="25" s="1"/>
  <c r="F21" i="25"/>
  <c r="G21" i="25"/>
  <c r="P21" i="25"/>
  <c r="AC21" i="25"/>
  <c r="AE21" i="25" s="1"/>
  <c r="F19" i="25"/>
  <c r="S19" i="25" s="1"/>
  <c r="G19" i="25"/>
  <c r="P19" i="25"/>
  <c r="AC19" i="25"/>
  <c r="AE19" i="25" s="1"/>
  <c r="F17" i="25"/>
  <c r="G17" i="25"/>
  <c r="P17" i="25"/>
  <c r="F10" i="24"/>
  <c r="G10" i="24"/>
  <c r="AA10" i="24"/>
  <c r="AC10" i="24" s="1"/>
  <c r="F13" i="24"/>
  <c r="G13" i="24"/>
  <c r="R13" i="24" s="1"/>
  <c r="AA13" i="24"/>
  <c r="AC13" i="24" s="1"/>
  <c r="F15" i="24"/>
  <c r="R15" i="24"/>
  <c r="AA15" i="24"/>
  <c r="AC15" i="24" s="1"/>
  <c r="F17" i="24"/>
  <c r="G17" i="24"/>
  <c r="R17" i="24" s="1"/>
  <c r="AC17" i="24"/>
  <c r="R25" i="25" l="1"/>
  <c r="T25" i="25" s="1"/>
  <c r="AH25" i="25" s="1"/>
  <c r="R19" i="25"/>
  <c r="T19" i="25" s="1"/>
  <c r="AH19" i="25" s="1"/>
  <c r="R21" i="25"/>
  <c r="R17" i="25"/>
  <c r="S17" i="25"/>
  <c r="R15" i="25"/>
  <c r="T15" i="25" s="1"/>
  <c r="AH15" i="25" s="1"/>
  <c r="R11" i="25"/>
  <c r="T11" i="25" s="1"/>
  <c r="AH11" i="25" s="1"/>
  <c r="R23" i="25"/>
  <c r="T23" i="25" s="1"/>
  <c r="AH23" i="25" s="1"/>
  <c r="S21" i="25"/>
  <c r="S15" i="24"/>
  <c r="AF15" i="24" s="1"/>
  <c r="Q17" i="24"/>
  <c r="S17" i="24" s="1"/>
  <c r="AF17" i="24" s="1"/>
  <c r="S13" i="24"/>
  <c r="AF13" i="24" s="1"/>
  <c r="R13" i="25"/>
  <c r="T13" i="25" s="1"/>
  <c r="AH13" i="25" s="1"/>
  <c r="AF10" i="24" l="1"/>
  <c r="S20" i="24"/>
  <c r="T17" i="25"/>
  <c r="AH17" i="25" s="1"/>
  <c r="T21" i="25"/>
  <c r="AH21" i="25" s="1"/>
  <c r="T29" i="25" l="1"/>
  <c r="AH29" i="25"/>
  <c r="E23" i="23"/>
  <c r="Q23" i="23" s="1"/>
  <c r="F23" i="23"/>
  <c r="AA23" i="23"/>
  <c r="AC23" i="23" s="1"/>
  <c r="E16" i="23"/>
  <c r="R16" i="23" s="1"/>
  <c r="F16" i="23"/>
  <c r="O16" i="23"/>
  <c r="AA16" i="23"/>
  <c r="AC16" i="23" s="1"/>
  <c r="E21" i="23"/>
  <c r="R21" i="23" s="1"/>
  <c r="F21" i="23"/>
  <c r="O21" i="23"/>
  <c r="AA21" i="23"/>
  <c r="AC21" i="23" s="1"/>
  <c r="E13" i="23"/>
  <c r="R13" i="23" s="1"/>
  <c r="F13" i="23"/>
  <c r="O13" i="23"/>
  <c r="AA13" i="23"/>
  <c r="AC13" i="23" s="1"/>
  <c r="E11" i="23"/>
  <c r="R11" i="23" s="1"/>
  <c r="F11" i="23"/>
  <c r="O11" i="23"/>
  <c r="AA11" i="23"/>
  <c r="AC11" i="23" s="1"/>
  <c r="E15" i="23"/>
  <c r="F15" i="23"/>
  <c r="O15" i="23"/>
  <c r="AA15" i="23"/>
  <c r="AC15" i="23" s="1"/>
  <c r="E27" i="23"/>
  <c r="F27" i="23"/>
  <c r="O27" i="23"/>
  <c r="AA27" i="23"/>
  <c r="AC27" i="23" s="1"/>
  <c r="Q27" i="23" l="1"/>
  <c r="Q21" i="23"/>
  <c r="S21" i="23" s="1"/>
  <c r="AF21" i="23" s="1"/>
  <c r="Q15" i="23"/>
  <c r="Q16" i="23"/>
  <c r="S16" i="23" s="1"/>
  <c r="AF16" i="23" s="1"/>
  <c r="R27" i="23"/>
  <c r="R23" i="23"/>
  <c r="Q11" i="23"/>
  <c r="S11" i="23" s="1"/>
  <c r="AF11" i="23" s="1"/>
  <c r="Q13" i="23"/>
  <c r="S13" i="23" s="1"/>
  <c r="AF13" i="23" s="1"/>
  <c r="R15" i="23"/>
  <c r="K10" i="5"/>
  <c r="F18" i="14"/>
  <c r="E18" i="14"/>
  <c r="X18" i="14"/>
  <c r="Z18" i="14" s="1"/>
  <c r="L18" i="14"/>
  <c r="S27" i="23" l="1"/>
  <c r="AF27" i="23" s="1"/>
  <c r="S23" i="23"/>
  <c r="AF23" i="23" s="1"/>
  <c r="S15" i="23"/>
  <c r="AF15" i="23" s="1"/>
  <c r="N18" i="14"/>
  <c r="P18" i="14" s="1"/>
  <c r="S29" i="23" l="1"/>
  <c r="Z11" i="1"/>
  <c r="F10" i="19"/>
  <c r="E13" i="4"/>
  <c r="E11" i="4"/>
  <c r="E10" i="5"/>
  <c r="F11" i="1" l="1"/>
  <c r="P11" i="7" l="1"/>
  <c r="K11" i="7"/>
  <c r="Y11" i="7" l="1"/>
  <c r="X15" i="14" l="1"/>
  <c r="Z15" i="14" s="1"/>
  <c r="X12" i="14"/>
  <c r="Z12" i="14" s="1"/>
  <c r="X10" i="14"/>
  <c r="Z10" i="14" s="1"/>
  <c r="F15" i="14" l="1"/>
  <c r="L15" i="14"/>
  <c r="E15" i="14"/>
  <c r="E12" i="14"/>
  <c r="N15" i="14" l="1"/>
  <c r="AC15" i="14" s="1"/>
  <c r="F10" i="14"/>
  <c r="E10" i="14"/>
  <c r="F10" i="5"/>
  <c r="F12" i="5"/>
  <c r="F13" i="5"/>
  <c r="F18" i="5"/>
  <c r="Z14" i="19" l="1"/>
  <c r="AB14" i="19" s="1"/>
  <c r="M14" i="19"/>
  <c r="G14" i="19"/>
  <c r="P14" i="19"/>
  <c r="Z12" i="19"/>
  <c r="AB12" i="19" s="1"/>
  <c r="M12" i="19"/>
  <c r="G12" i="19"/>
  <c r="P12" i="19"/>
  <c r="Z10" i="19"/>
  <c r="AB10" i="19" s="1"/>
  <c r="M10" i="19"/>
  <c r="G10" i="19"/>
  <c r="P10" i="19"/>
  <c r="Q10" i="19" l="1"/>
  <c r="AE10" i="19" s="1"/>
  <c r="Q14" i="19" l="1"/>
  <c r="AE14" i="19" s="1"/>
  <c r="Q12" i="19"/>
  <c r="Q15" i="19" l="1"/>
  <c r="AE12" i="19"/>
  <c r="L12" i="14"/>
  <c r="L10" i="14"/>
  <c r="N10" i="14" s="1"/>
  <c r="N12" i="14" l="1"/>
  <c r="AC12" i="14" s="1"/>
  <c r="P10" i="14"/>
  <c r="AC20" i="14" l="1"/>
  <c r="P20" i="14"/>
  <c r="W13" i="10"/>
  <c r="Y13" i="10" s="1"/>
  <c r="K13" i="10"/>
  <c r="F13" i="10"/>
  <c r="E13" i="10"/>
  <c r="N13" i="10" s="1"/>
  <c r="W11" i="10"/>
  <c r="Y11" i="10" s="1"/>
  <c r="K11" i="10"/>
  <c r="F11" i="10"/>
  <c r="E11" i="10"/>
  <c r="N11" i="10" s="1"/>
  <c r="AA11" i="7"/>
  <c r="O11" i="7"/>
  <c r="Q11" i="7" s="1"/>
  <c r="W18" i="5"/>
  <c r="Y18" i="5" s="1"/>
  <c r="K18" i="5"/>
  <c r="N18" i="5"/>
  <c r="E18" i="5"/>
  <c r="W13" i="5"/>
  <c r="Y13" i="5" s="1"/>
  <c r="K13" i="5"/>
  <c r="N13" i="5"/>
  <c r="E13" i="5"/>
  <c r="W12" i="5"/>
  <c r="Y12" i="5" s="1"/>
  <c r="K12" i="5"/>
  <c r="N12" i="5"/>
  <c r="E12" i="5"/>
  <c r="W10" i="5"/>
  <c r="Y10" i="5" s="1"/>
  <c r="N10" i="5"/>
  <c r="W13" i="4"/>
  <c r="Y13" i="4" s="1"/>
  <c r="K13" i="4"/>
  <c r="M13" i="4" s="1"/>
  <c r="F13" i="4"/>
  <c r="N13" i="4" s="1"/>
  <c r="W11" i="4"/>
  <c r="Y11" i="4" s="1"/>
  <c r="K11" i="4"/>
  <c r="M11" i="4" s="1"/>
  <c r="F11" i="4"/>
  <c r="N11" i="4" s="1"/>
  <c r="AB11" i="1"/>
  <c r="P11" i="1"/>
  <c r="M11" i="1"/>
  <c r="O11" i="1" s="1"/>
  <c r="G11" i="1"/>
  <c r="M11" i="10" l="1"/>
  <c r="O11" i="10" s="1"/>
  <c r="AB11" i="10" s="1"/>
  <c r="Q11" i="1"/>
  <c r="AE11" i="1" s="1"/>
  <c r="AE13" i="1" s="1"/>
  <c r="M13" i="10"/>
  <c r="O13" i="10" s="1"/>
  <c r="AB13" i="10" s="1"/>
  <c r="O13" i="4"/>
  <c r="AB13" i="4" s="1"/>
  <c r="O11" i="4"/>
  <c r="AB10" i="5" l="1"/>
  <c r="AB13" i="5"/>
  <c r="AB11" i="4"/>
  <c r="O15" i="4"/>
  <c r="AB12" i="5" l="1"/>
</calcChain>
</file>

<file path=xl/sharedStrings.xml><?xml version="1.0" encoding="utf-8"?>
<sst xmlns="http://schemas.openxmlformats.org/spreadsheetml/2006/main" count="1071" uniqueCount="226">
  <si>
    <t>AMBE SERVICE</t>
  </si>
  <si>
    <t>CLIENT NAME :</t>
  </si>
  <si>
    <t>Khajuriya</t>
  </si>
  <si>
    <t>MONTH :</t>
  </si>
  <si>
    <t>DETAIL :</t>
  </si>
  <si>
    <t>HOUSEKEEPING SALARY DETAILS</t>
  </si>
  <si>
    <t xml:space="preserve">  </t>
  </si>
  <si>
    <t>EMP 
ID</t>
  </si>
  <si>
    <t>NAME OF 
EMPLOYEE</t>
  </si>
  <si>
    <t>POST</t>
  </si>
  <si>
    <t>SALARY</t>
  </si>
  <si>
    <t>/Day</t>
  </si>
  <si>
    <t>/Hour</t>
  </si>
  <si>
    <t>Days Worked</t>
  </si>
  <si>
    <t>OT 
Hours
Worked</t>
  </si>
  <si>
    <t>Total 
Days
Amt</t>
  </si>
  <si>
    <t>Total 
OT
Amt</t>
  </si>
  <si>
    <t>TOTAL 
GROSS SALARY</t>
  </si>
  <si>
    <t>Bonus</t>
  </si>
  <si>
    <t>To Be Deduction Amount</t>
  </si>
  <si>
    <t xml:space="preserve">Deduction </t>
  </si>
  <si>
    <t>OTHER</t>
  </si>
  <si>
    <t>TOTAL
NET 
SALARY</t>
  </si>
  <si>
    <t>Paid Data</t>
  </si>
  <si>
    <t>Work Status</t>
  </si>
  <si>
    <t>PD</t>
  </si>
  <si>
    <t>WO</t>
  </si>
  <si>
    <t>WOE</t>
  </si>
  <si>
    <t>HD</t>
  </si>
  <si>
    <t>HDE</t>
  </si>
  <si>
    <t>TOTAL</t>
  </si>
  <si>
    <t>Advance</t>
  </si>
  <si>
    <t>Uniform</t>
  </si>
  <si>
    <t>Shoes</t>
  </si>
  <si>
    <t>ID</t>
  </si>
  <si>
    <t>Others</t>
  </si>
  <si>
    <t>Total</t>
  </si>
  <si>
    <t>In this
 Month</t>
  </si>
  <si>
    <t>In next 
Month</t>
  </si>
  <si>
    <t>Reason</t>
  </si>
  <si>
    <t>Amt</t>
  </si>
  <si>
    <t>Paid Date</t>
  </si>
  <si>
    <t>In Account Of</t>
  </si>
  <si>
    <t>Payee Account
 Name</t>
  </si>
  <si>
    <t>Adv Date</t>
  </si>
  <si>
    <t>Adv Amt</t>
  </si>
  <si>
    <t>Shirt</t>
  </si>
  <si>
    <t>Pant</t>
  </si>
  <si>
    <t>OTHer Reltn</t>
  </si>
  <si>
    <t>Mallesh</t>
  </si>
  <si>
    <t>Housekeeping</t>
  </si>
  <si>
    <t>00-00-0000</t>
  </si>
  <si>
    <t>WORKING</t>
  </si>
  <si>
    <t>RUPAREL ELRA</t>
  </si>
  <si>
    <t>Sr. 
No.</t>
  </si>
  <si>
    <t>OT 
Hours
Work</t>
  </si>
  <si>
    <t>TOTAL 
GROSS SAL</t>
  </si>
  <si>
    <t>uttam mishra</t>
  </si>
  <si>
    <t>Supervisor</t>
  </si>
  <si>
    <t>UNIFORM DEDUCTION</t>
  </si>
  <si>
    <t xml:space="preserve"> </t>
  </si>
  <si>
    <t>ROYAL EKSAR</t>
  </si>
  <si>
    <t>COMPLIANCE</t>
  </si>
  <si>
    <t>Leela</t>
  </si>
  <si>
    <t>Jayanti</t>
  </si>
  <si>
    <t>SHREEYA</t>
  </si>
  <si>
    <t>sharda</t>
  </si>
  <si>
    <t>reshma</t>
  </si>
  <si>
    <t>Najiya</t>
  </si>
  <si>
    <t>kamalbai</t>
  </si>
  <si>
    <t xml:space="preserve">Less Hrs
 deduction </t>
  </si>
  <si>
    <t>Total 
Hrs Deductn
Amt</t>
  </si>
  <si>
    <t>Umang</t>
  </si>
  <si>
    <t>Trav +Chai</t>
  </si>
  <si>
    <t>BP INFRA</t>
  </si>
  <si>
    <t>Sunita</t>
  </si>
  <si>
    <t>Swati</t>
  </si>
  <si>
    <t>Trainee Staff</t>
  </si>
  <si>
    <t xml:space="preserve">Nisha  Singh </t>
  </si>
  <si>
    <t>Sakku bai</t>
  </si>
  <si>
    <t>Joyti</t>
  </si>
  <si>
    <t>Ceejay</t>
  </si>
  <si>
    <t>Salary
increment</t>
  </si>
  <si>
    <t>Ranjan</t>
  </si>
  <si>
    <t>Gangaram</t>
  </si>
  <si>
    <t>Niraj</t>
  </si>
  <si>
    <t>Pantry</t>
  </si>
  <si>
    <t xml:space="preserve">    </t>
  </si>
  <si>
    <t>COMMON WASHROOM</t>
  </si>
  <si>
    <t>Nuri</t>
  </si>
  <si>
    <t>Saddam</t>
  </si>
  <si>
    <t>SALES OFFICE</t>
  </si>
  <si>
    <t>SALARY
increment</t>
  </si>
  <si>
    <t>OT Hours
Worked</t>
  </si>
  <si>
    <t>/ Day</t>
  </si>
  <si>
    <t>/ Hour</t>
  </si>
  <si>
    <t>CBRE 
DEDU</t>
  </si>
  <si>
    <t>Omkar gothankar</t>
  </si>
  <si>
    <t>Sandeep</t>
  </si>
  <si>
    <t>Divya Shinde</t>
  </si>
  <si>
    <t>Lift Operator</t>
  </si>
  <si>
    <t>Pantry boy</t>
  </si>
  <si>
    <t>Omkar patil</t>
  </si>
  <si>
    <t>Arif</t>
  </si>
  <si>
    <t>Reliver</t>
  </si>
  <si>
    <t>Palacio</t>
  </si>
  <si>
    <t>Sr. 
 No.</t>
  </si>
  <si>
    <t>NAME OF 
 EMPLOYEE</t>
  </si>
  <si>
    <t>OT 
 Hours
 Work</t>
  </si>
  <si>
    <t>Total 
 Days
 Amt</t>
  </si>
  <si>
    <t>Total 
 OT
 Amt</t>
  </si>
  <si>
    <t>Deduction</t>
  </si>
  <si>
    <t>TOTAL
 NET 
 SALARY</t>
  </si>
  <si>
    <t>Payee Account
  Name</t>
  </si>
  <si>
    <t>In this
  Month</t>
  </si>
  <si>
    <t>In next 
 Month</t>
  </si>
  <si>
    <t>In Account
  Of</t>
  </si>
  <si>
    <t>Night</t>
  </si>
  <si>
    <t>shirt</t>
  </si>
  <si>
    <t>pant</t>
  </si>
  <si>
    <t>Laxman</t>
  </si>
  <si>
    <t>Archana</t>
  </si>
  <si>
    <t>Left</t>
  </si>
  <si>
    <t>Working</t>
  </si>
  <si>
    <t>CBRE
Dedu</t>
  </si>
  <si>
    <t xml:space="preserve">Reason </t>
  </si>
  <si>
    <t>Firoj Shaikh</t>
  </si>
  <si>
    <t>TOTAL 
 GROSS 
SAL</t>
  </si>
  <si>
    <t>Santosh</t>
  </si>
  <si>
    <t>Store Keeper</t>
  </si>
  <si>
    <t>deduc</t>
  </si>
  <si>
    <t>Prev ADV</t>
  </si>
  <si>
    <t>OT</t>
  </si>
  <si>
    <t>OT 
AMT</t>
  </si>
  <si>
    <t>reason</t>
  </si>
  <si>
    <t xml:space="preserve">gave </t>
  </si>
  <si>
    <t>Priyeh Singh</t>
  </si>
  <si>
    <t>Rahul</t>
  </si>
  <si>
    <t>Vinit</t>
  </si>
  <si>
    <t>ACME</t>
  </si>
  <si>
    <t>Babu</t>
  </si>
  <si>
    <t>Asha</t>
  </si>
  <si>
    <t>rashika</t>
  </si>
  <si>
    <t>mon</t>
  </si>
  <si>
    <t>fri</t>
  </si>
  <si>
    <t>Thursday</t>
  </si>
  <si>
    <t>wed</t>
  </si>
  <si>
    <t>tur</t>
  </si>
  <si>
    <t xml:space="preserve">prev month </t>
  </si>
  <si>
    <t xml:space="preserve">Kanhaiyalal </t>
  </si>
  <si>
    <t>Sanju</t>
  </si>
  <si>
    <t xml:space="preserve">Company - Office </t>
  </si>
  <si>
    <t>Company - Rounder</t>
  </si>
  <si>
    <t>Rounder</t>
  </si>
  <si>
    <t>Work
 Status</t>
  </si>
  <si>
    <t>Maruti</t>
  </si>
  <si>
    <t>Saraswati</t>
  </si>
  <si>
    <t>bharti</t>
  </si>
  <si>
    <t>Vijay</t>
  </si>
  <si>
    <t>Aarti</t>
  </si>
  <si>
    <t>Abhishesh</t>
  </si>
  <si>
    <t>Min- Sale</t>
  </si>
  <si>
    <t>Aug 2025</t>
  </si>
  <si>
    <t>Ravi</t>
  </si>
  <si>
    <t xml:space="preserve">prev adv </t>
  </si>
  <si>
    <t xml:space="preserve">prev </t>
  </si>
  <si>
    <t>sarswati har kasbe</t>
  </si>
  <si>
    <t>Nisha  Galfade</t>
  </si>
  <si>
    <t>Mon</t>
  </si>
  <si>
    <t xml:space="preserve">Sudhakar </t>
  </si>
  <si>
    <t xml:space="preserve">pravin </t>
  </si>
  <si>
    <t>Pradeep</t>
  </si>
  <si>
    <t>CANCELLED</t>
  </si>
  <si>
    <t xml:space="preserve">REASON </t>
  </si>
  <si>
    <t xml:space="preserve">Travelling </t>
  </si>
  <si>
    <t xml:space="preserve">remark </t>
  </si>
  <si>
    <t>hussain</t>
  </si>
  <si>
    <t>Sep 2025</t>
  </si>
  <si>
    <t>September 2025</t>
  </si>
  <si>
    <t>Sudhir</t>
  </si>
  <si>
    <t>Sandesh</t>
  </si>
  <si>
    <t>HK Supervisor</t>
  </si>
  <si>
    <t>Shivshankar</t>
  </si>
  <si>
    <t>Kiran</t>
  </si>
  <si>
    <t xml:space="preserve">Mohit </t>
  </si>
  <si>
    <t>loan</t>
  </si>
  <si>
    <t xml:space="preserve">sept trav + 
oct adv </t>
  </si>
  <si>
    <t xml:space="preserve">sept trav </t>
  </si>
  <si>
    <t xml:space="preserve">advance - client </t>
  </si>
  <si>
    <t xml:space="preserve">sunita </t>
  </si>
  <si>
    <t>swatri</t>
  </si>
  <si>
    <t>jyoti</t>
  </si>
  <si>
    <t xml:space="preserve">nisha g </t>
  </si>
  <si>
    <t xml:space="preserve">navnath </t>
  </si>
  <si>
    <t xml:space="preserve">jyoti </t>
  </si>
  <si>
    <t>s</t>
  </si>
  <si>
    <t>Oct 2025</t>
  </si>
  <si>
    <t>October  2025</t>
  </si>
  <si>
    <t>01-11-2025</t>
  </si>
  <si>
    <t>01/11/2025</t>
  </si>
  <si>
    <t>Shabnam</t>
  </si>
  <si>
    <t>Premanand</t>
  </si>
  <si>
    <t>Manoj</t>
  </si>
  <si>
    <t>October 2025</t>
  </si>
  <si>
    <t>Sagar</t>
  </si>
  <si>
    <t>Guddu</t>
  </si>
  <si>
    <t>Travelling</t>
  </si>
  <si>
    <t>Khairunisha</t>
  </si>
  <si>
    <t>-</t>
  </si>
  <si>
    <t>Adv-Agnes dsouza</t>
  </si>
  <si>
    <t>.</t>
  </si>
  <si>
    <t>12-11-2025</t>
  </si>
  <si>
    <t>12-11.2025</t>
  </si>
  <si>
    <t>13-11-2025</t>
  </si>
  <si>
    <t>vinit</t>
  </si>
  <si>
    <t>14-11-2025</t>
  </si>
  <si>
    <t>08-11-2025</t>
  </si>
  <si>
    <t>ED</t>
  </si>
  <si>
    <t xml:space="preserve">reason </t>
  </si>
  <si>
    <t>Back office
 assistant</t>
  </si>
  <si>
    <t>15-11-2025</t>
  </si>
  <si>
    <t>4 person to hold the sal whoever I scurrently working</t>
  </si>
  <si>
    <t xml:space="preserve">Raju </t>
  </si>
  <si>
    <t>20-11-2025</t>
  </si>
  <si>
    <t>23-11-2025</t>
  </si>
  <si>
    <t>26-11-2025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</si>
</sst>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b/>
      <sz val="11"/>
      <color rgb="FF385623"/>
      <name val="Calibri"/>
      <family val="2"/>
    </font>
    <font>
      <b/>
      <sz val="12"/>
      <color rgb="FF2F5496"/>
      <name val="Calibri"/>
      <family val="2"/>
    </font>
    <font>
      <sz val="11"/>
      <color rgb="FFBF9000"/>
      <name val="Calibri"/>
      <family val="2"/>
    </font>
    <font>
      <sz val="11"/>
      <color theme="1"/>
      <name val="Calibri"/>
      <family val="2"/>
      <scheme val="minor"/>
    </font>
    <font>
      <sz val="11"/>
      <color rgb="FFC55A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Book Antiqua"/>
      <family val="1"/>
    </font>
    <font>
      <sz val="9"/>
      <color rgb="FF000000"/>
      <name val="Poppins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rgb="FF002060"/>
      <name val="Calibri"/>
      <family val="2"/>
    </font>
    <font>
      <b/>
      <sz val="11"/>
      <color rgb="FF000000"/>
      <name val="Calibri"/>
      <family val="2"/>
    </font>
    <font>
      <b/>
      <sz val="11"/>
      <color rgb="FF375623"/>
      <name val="Calibri"/>
      <family val="2"/>
    </font>
    <font>
      <b/>
      <sz val="12"/>
      <color rgb="FF305496"/>
      <name val="Calibri"/>
      <family val="2"/>
    </font>
    <font>
      <sz val="11"/>
      <color rgb="FFC65911"/>
      <name val="Calibri"/>
      <family val="2"/>
    </font>
    <font>
      <sz val="9"/>
      <color rgb="FF000000"/>
      <name val="Calibri"/>
      <family val="2"/>
    </font>
    <font>
      <b/>
      <sz val="11"/>
      <color theme="1"/>
      <name val="&quot;Book Antiqua&quot;"/>
    </font>
    <font>
      <sz val="11"/>
      <color theme="3" tint="4.9989318521683403E-2"/>
      <name val="Calibri"/>
      <family val="2"/>
    </font>
    <font>
      <b/>
      <sz val="11"/>
      <color theme="3" tint="4.9989318521683403E-2"/>
      <name val="Calibri"/>
      <family val="2"/>
    </font>
    <font>
      <sz val="11"/>
      <color theme="3" tint="4.9989318521683403E-2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name val="Book Antiqua"/>
      <family val="1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Book Antiqua"/>
      <family val="1"/>
    </font>
    <font>
      <b/>
      <sz val="11"/>
      <color rgb="FFFF0000"/>
      <name val="&quot;Book Antiqua&quot;"/>
    </font>
    <font>
      <sz val="11"/>
      <color rgb="FFFF0000"/>
      <name val="Calibri"/>
      <family val="2"/>
      <scheme val="minor"/>
    </font>
    <font>
      <b/>
      <sz val="11"/>
      <name val="&quot;Book Antiqua&quot;"/>
    </font>
    <font>
      <sz val="1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 tint="-4.9989318521683403E-2"/>
      <name val="Calibri"/>
      <family val="2"/>
    </font>
    <font>
      <sz val="11"/>
      <color theme="1"/>
      <name val="Book Antiqua"/>
      <family val="1"/>
    </font>
    <font>
      <sz val="11"/>
      <color theme="3"/>
      <name val="Calibri"/>
      <family val="2"/>
    </font>
    <font>
      <sz val="9"/>
      <color theme="3"/>
      <name val="Poppins"/>
    </font>
    <font>
      <sz val="11"/>
      <name val="Book Antiqua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0" fontId="15" fillId="0" borderId="45"/>
    <xf numFmtId="0" fontId="11" fillId="0" borderId="45"/>
    <xf numFmtId="0" fontId="58" fillId="0" borderId="45"/>
    <xf numFmtId="0" fontId="10" fillId="0" borderId="45"/>
    <xf numFmtId="0" fontId="9" fillId="0" borderId="45"/>
  </cellStyleXfs>
  <cellXfs count="892">
    <xf numFmtId="0" fontId="0" fillId="0" borderId="0" xfId="0"/>
    <xf numFmtId="0" fontId="17" fillId="0" borderId="0" xfId="0" applyFont="1"/>
    <xf numFmtId="0" fontId="18" fillId="0" borderId="0" xfId="0" applyFont="1"/>
    <xf numFmtId="0" fontId="19" fillId="0" borderId="0" xfId="0" applyFont="1"/>
    <xf numFmtId="49" fontId="20" fillId="0" borderId="0" xfId="0" applyNumberFormat="1" applyFont="1"/>
    <xf numFmtId="0" fontId="21" fillId="0" borderId="0" xfId="0" applyFont="1"/>
    <xf numFmtId="0" fontId="22" fillId="0" borderId="0" xfId="0" applyFont="1"/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vertical="center" wrapText="1"/>
    </xf>
    <xf numFmtId="0" fontId="25" fillId="0" borderId="12" xfId="0" applyFont="1" applyBorder="1" applyAlignment="1">
      <alignment vertical="center" wrapText="1"/>
    </xf>
    <xf numFmtId="0" fontId="25" fillId="0" borderId="1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3" fillId="0" borderId="1" xfId="0" applyFont="1" applyBorder="1"/>
    <xf numFmtId="0" fontId="23" fillId="0" borderId="32" xfId="0" applyFont="1" applyBorder="1"/>
    <xf numFmtId="14" fontId="23" fillId="0" borderId="32" xfId="0" applyNumberFormat="1" applyFont="1" applyBorder="1" applyAlignment="1">
      <alignment horizontal="left" vertical="top"/>
    </xf>
    <xf numFmtId="2" fontId="23" fillId="0" borderId="32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14" fontId="23" fillId="0" borderId="32" xfId="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23" fillId="0" borderId="2" xfId="0" applyFont="1" applyBorder="1"/>
    <xf numFmtId="0" fontId="25" fillId="0" borderId="34" xfId="0" applyFont="1" applyBorder="1" applyAlignment="1">
      <alignment horizontal="center" vertical="center"/>
    </xf>
    <xf numFmtId="0" fontId="25" fillId="0" borderId="34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0" fontId="25" fillId="0" borderId="36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/>
    </xf>
    <xf numFmtId="0" fontId="25" fillId="0" borderId="32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3" fillId="0" borderId="37" xfId="0" applyFont="1" applyBorder="1"/>
    <xf numFmtId="0" fontId="26" fillId="0" borderId="32" xfId="0" applyFont="1" applyBorder="1" applyAlignment="1">
      <alignment horizontal="center" vertical="center"/>
    </xf>
    <xf numFmtId="1" fontId="23" fillId="0" borderId="32" xfId="0" applyNumberFormat="1" applyFont="1" applyBorder="1"/>
    <xf numFmtId="164" fontId="23" fillId="0" borderId="32" xfId="0" applyNumberFormat="1" applyFont="1" applyBorder="1"/>
    <xf numFmtId="0" fontId="27" fillId="0" borderId="32" xfId="0" applyFont="1" applyBorder="1"/>
    <xf numFmtId="0" fontId="23" fillId="0" borderId="0" xfId="0" applyFont="1" applyAlignment="1">
      <alignment horizontal="center"/>
    </xf>
    <xf numFmtId="0" fontId="25" fillId="0" borderId="32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left" vertical="top"/>
    </xf>
    <xf numFmtId="2" fontId="23" fillId="0" borderId="19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" fontId="23" fillId="0" borderId="38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" fontId="23" fillId="0" borderId="32" xfId="0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3" fillId="0" borderId="32" xfId="0" applyFont="1" applyBorder="1" applyAlignment="1">
      <alignment horizontal="left" vertical="center"/>
    </xf>
    <xf numFmtId="0" fontId="28" fillId="0" borderId="0" xfId="0" applyFont="1"/>
    <xf numFmtId="2" fontId="23" fillId="0" borderId="0" xfId="0" applyNumberFormat="1" applyFont="1"/>
    <xf numFmtId="2" fontId="28" fillId="0" borderId="0" xfId="0" applyNumberFormat="1" applyFont="1"/>
    <xf numFmtId="0" fontId="28" fillId="3" borderId="0" xfId="0" applyFont="1" applyFill="1"/>
    <xf numFmtId="2" fontId="28" fillId="3" borderId="0" xfId="0" applyNumberFormat="1" applyFont="1" applyFill="1"/>
    <xf numFmtId="0" fontId="32" fillId="0" borderId="0" xfId="0" applyFont="1"/>
    <xf numFmtId="0" fontId="33" fillId="0" borderId="0" xfId="0" applyFont="1"/>
    <xf numFmtId="0" fontId="28" fillId="0" borderId="3" xfId="0" applyFont="1" applyBorder="1"/>
    <xf numFmtId="0" fontId="31" fillId="0" borderId="3" xfId="0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31" fillId="0" borderId="40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49" fontId="23" fillId="0" borderId="0" xfId="0" applyNumberFormat="1" applyFont="1" applyAlignment="1">
      <alignment horizontal="center" vertical="center"/>
    </xf>
    <xf numFmtId="0" fontId="23" fillId="2" borderId="33" xfId="0" applyFont="1" applyFill="1" applyBorder="1"/>
    <xf numFmtId="0" fontId="21" fillId="0" borderId="50" xfId="0" applyFont="1" applyBorder="1"/>
    <xf numFmtId="0" fontId="23" fillId="0" borderId="33" xfId="0" applyFont="1" applyBorder="1"/>
    <xf numFmtId="0" fontId="23" fillId="0" borderId="46" xfId="0" applyFont="1" applyBorder="1" applyAlignment="1">
      <alignment wrapText="1"/>
    </xf>
    <xf numFmtId="0" fontId="0" fillId="0" borderId="50" xfId="0" applyBorder="1"/>
    <xf numFmtId="0" fontId="0" fillId="4" borderId="0" xfId="0" applyFill="1"/>
    <xf numFmtId="0" fontId="16" fillId="0" borderId="0" xfId="0" applyFont="1"/>
    <xf numFmtId="0" fontId="37" fillId="0" borderId="32" xfId="0" applyFont="1" applyBorder="1"/>
    <xf numFmtId="0" fontId="38" fillId="0" borderId="34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9" fillId="0" borderId="0" xfId="0" applyFont="1"/>
    <xf numFmtId="0" fontId="38" fillId="0" borderId="19" xfId="0" applyFont="1" applyBorder="1" applyAlignment="1">
      <alignment horizontal="center" vertical="center"/>
    </xf>
    <xf numFmtId="0" fontId="37" fillId="0" borderId="32" xfId="0" applyFont="1" applyBorder="1" applyAlignment="1">
      <alignment wrapText="1"/>
    </xf>
    <xf numFmtId="0" fontId="37" fillId="0" borderId="0" xfId="0" applyFont="1" applyAlignment="1">
      <alignment wrapText="1"/>
    </xf>
    <xf numFmtId="0" fontId="37" fillId="0" borderId="3" xfId="0" applyFont="1" applyBorder="1"/>
    <xf numFmtId="164" fontId="37" fillId="0" borderId="32" xfId="0" applyNumberFormat="1" applyFont="1" applyBorder="1"/>
    <xf numFmtId="1" fontId="37" fillId="0" borderId="32" xfId="0" applyNumberFormat="1" applyFont="1" applyBorder="1"/>
    <xf numFmtId="0" fontId="38" fillId="0" borderId="32" xfId="0" applyFont="1" applyBorder="1"/>
    <xf numFmtId="0" fontId="38" fillId="0" borderId="1" xfId="0" applyFont="1" applyBorder="1"/>
    <xf numFmtId="0" fontId="38" fillId="0" borderId="2" xfId="0" applyFont="1" applyBorder="1"/>
    <xf numFmtId="0" fontId="38" fillId="0" borderId="32" xfId="0" applyFont="1" applyBorder="1" applyAlignment="1">
      <alignment horizontal="center"/>
    </xf>
    <xf numFmtId="0" fontId="28" fillId="0" borderId="47" xfId="0" applyFont="1" applyBorder="1" applyAlignment="1">
      <alignment horizontal="right"/>
    </xf>
    <xf numFmtId="0" fontId="28" fillId="0" borderId="49" xfId="0" applyFont="1" applyBorder="1"/>
    <xf numFmtId="0" fontId="28" fillId="0" borderId="49" xfId="0" applyFont="1" applyBorder="1" applyAlignment="1">
      <alignment horizontal="right"/>
    </xf>
    <xf numFmtId="0" fontId="28" fillId="0" borderId="49" xfId="0" applyFont="1" applyBorder="1" applyAlignment="1">
      <alignment horizontal="center"/>
    </xf>
    <xf numFmtId="2" fontId="28" fillId="0" borderId="49" xfId="0" applyNumberFormat="1" applyFont="1" applyBorder="1" applyAlignment="1">
      <alignment horizontal="center"/>
    </xf>
    <xf numFmtId="2" fontId="35" fillId="0" borderId="49" xfId="0" applyNumberFormat="1" applyFont="1" applyBorder="1" applyAlignment="1">
      <alignment horizontal="center"/>
    </xf>
    <xf numFmtId="49" fontId="28" fillId="0" borderId="49" xfId="0" applyNumberFormat="1" applyFont="1" applyBorder="1" applyAlignment="1">
      <alignment horizontal="center"/>
    </xf>
    <xf numFmtId="0" fontId="36" fillId="0" borderId="49" xfId="0" applyFont="1" applyBorder="1" applyAlignment="1">
      <alignment horizontal="center"/>
    </xf>
    <xf numFmtId="0" fontId="23" fillId="6" borderId="32" xfId="0" applyFont="1" applyFill="1" applyBorder="1"/>
    <xf numFmtId="0" fontId="23" fillId="0" borderId="46" xfId="0" applyFont="1" applyBorder="1" applyAlignment="1">
      <alignment horizontal="center" vertical="center"/>
    </xf>
    <xf numFmtId="0" fontId="23" fillId="0" borderId="41" xfId="0" applyFont="1" applyBorder="1"/>
    <xf numFmtId="1" fontId="23" fillId="0" borderId="18" xfId="0" applyNumberFormat="1" applyFont="1" applyBorder="1" applyAlignment="1">
      <alignment horizontal="center" vertical="center"/>
    </xf>
    <xf numFmtId="1" fontId="25" fillId="0" borderId="18" xfId="0" applyNumberFormat="1" applyFont="1" applyBorder="1" applyAlignment="1">
      <alignment horizontal="center" vertical="center" wrapText="1"/>
    </xf>
    <xf numFmtId="49" fontId="23" fillId="0" borderId="32" xfId="0" applyNumberFormat="1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3" fillId="0" borderId="50" xfId="0" applyFont="1" applyBorder="1"/>
    <xf numFmtId="0" fontId="28" fillId="6" borderId="49" xfId="0" applyFont="1" applyFill="1" applyBorder="1"/>
    <xf numFmtId="0" fontId="25" fillId="0" borderId="18" xfId="0" applyFont="1" applyBorder="1" applyAlignment="1">
      <alignment vertical="center" wrapText="1"/>
    </xf>
    <xf numFmtId="0" fontId="23" fillId="0" borderId="45" xfId="0" applyFont="1" applyBorder="1"/>
    <xf numFmtId="0" fontId="23" fillId="0" borderId="45" xfId="0" applyFont="1" applyBorder="1" applyAlignment="1">
      <alignment horizontal="center" vertical="center"/>
    </xf>
    <xf numFmtId="0" fontId="21" fillId="4" borderId="0" xfId="0" applyFont="1" applyFill="1"/>
    <xf numFmtId="0" fontId="25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vertical="center"/>
    </xf>
    <xf numFmtId="0" fontId="21" fillId="4" borderId="50" xfId="0" applyFont="1" applyFill="1" applyBorder="1"/>
    <xf numFmtId="0" fontId="25" fillId="4" borderId="19" xfId="0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/>
    </xf>
    <xf numFmtId="0" fontId="21" fillId="4" borderId="32" xfId="0" applyFont="1" applyFill="1" applyBorder="1"/>
    <xf numFmtId="0" fontId="25" fillId="0" borderId="44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14" fillId="0" borderId="0" xfId="0" applyFont="1"/>
    <xf numFmtId="14" fontId="28" fillId="0" borderId="47" xfId="0" applyNumberFormat="1" applyFont="1" applyBorder="1" applyAlignment="1">
      <alignment horizontal="left" vertical="top"/>
    </xf>
    <xf numFmtId="2" fontId="23" fillId="0" borderId="41" xfId="0" applyNumberFormat="1" applyFont="1" applyBorder="1" applyAlignment="1">
      <alignment horizontal="center" vertical="center"/>
    </xf>
    <xf numFmtId="14" fontId="13" fillId="0" borderId="0" xfId="0" applyNumberFormat="1" applyFont="1"/>
    <xf numFmtId="0" fontId="37" fillId="0" borderId="45" xfId="0" applyFont="1" applyBorder="1" applyAlignment="1">
      <alignment wrapText="1"/>
    </xf>
    <xf numFmtId="0" fontId="37" fillId="0" borderId="45" xfId="0" applyFont="1" applyBorder="1"/>
    <xf numFmtId="14" fontId="23" fillId="0" borderId="41" xfId="0" applyNumberFormat="1" applyFont="1" applyBorder="1" applyAlignment="1">
      <alignment horizontal="left" vertical="top"/>
    </xf>
    <xf numFmtId="0" fontId="23" fillId="0" borderId="44" xfId="0" applyFont="1" applyBorder="1" applyAlignment="1">
      <alignment horizontal="left" vertical="center"/>
    </xf>
    <xf numFmtId="1" fontId="23" fillId="0" borderId="44" xfId="0" applyNumberFormat="1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2" fontId="28" fillId="5" borderId="49" xfId="0" applyNumberFormat="1" applyFont="1" applyFill="1" applyBorder="1" applyAlignment="1">
      <alignment horizontal="center"/>
    </xf>
    <xf numFmtId="2" fontId="23" fillId="5" borderId="32" xfId="0" applyNumberFormat="1" applyFont="1" applyFill="1" applyBorder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53" fillId="0" borderId="0" xfId="0" applyFont="1"/>
    <xf numFmtId="0" fontId="50" fillId="0" borderId="0" xfId="0" applyFont="1"/>
    <xf numFmtId="2" fontId="50" fillId="0" borderId="0" xfId="0" applyNumberFormat="1" applyFont="1"/>
    <xf numFmtId="0" fontId="50" fillId="0" borderId="45" xfId="0" applyFont="1" applyBorder="1" applyAlignment="1">
      <alignment horizontal="right"/>
    </xf>
    <xf numFmtId="0" fontId="50" fillId="6" borderId="45" xfId="0" applyFont="1" applyFill="1" applyBorder="1"/>
    <xf numFmtId="0" fontId="50" fillId="0" borderId="45" xfId="0" applyFont="1" applyBorder="1"/>
    <xf numFmtId="164" fontId="50" fillId="0" borderId="45" xfId="0" applyNumberFormat="1" applyFont="1" applyBorder="1" applyAlignment="1">
      <alignment horizontal="right"/>
    </xf>
    <xf numFmtId="0" fontId="50" fillId="0" borderId="45" xfId="0" applyFont="1" applyBorder="1" applyAlignment="1">
      <alignment horizontal="center"/>
    </xf>
    <xf numFmtId="0" fontId="50" fillId="0" borderId="45" xfId="0" applyFont="1" applyBorder="1" applyAlignment="1">
      <alignment horizontal="left" vertical="top"/>
    </xf>
    <xf numFmtId="2" fontId="50" fillId="0" borderId="45" xfId="0" applyNumberFormat="1" applyFont="1" applyBorder="1" applyAlignment="1">
      <alignment horizontal="center"/>
    </xf>
    <xf numFmtId="49" fontId="50" fillId="0" borderId="45" xfId="0" applyNumberFormat="1" applyFont="1" applyBorder="1" applyAlignment="1">
      <alignment horizontal="center" vertical="center"/>
    </xf>
    <xf numFmtId="49" fontId="50" fillId="0" borderId="45" xfId="0" applyNumberFormat="1" applyFont="1" applyBorder="1" applyAlignment="1">
      <alignment horizontal="center"/>
    </xf>
    <xf numFmtId="0" fontId="52" fillId="0" borderId="45" xfId="0" applyFont="1" applyBorder="1" applyAlignment="1">
      <alignment horizontal="center"/>
    </xf>
    <xf numFmtId="0" fontId="50" fillId="0" borderId="33" xfId="0" applyFont="1" applyBorder="1"/>
    <xf numFmtId="0" fontId="24" fillId="0" borderId="50" xfId="0" applyFont="1" applyBorder="1"/>
    <xf numFmtId="0" fontId="24" fillId="0" borderId="50" xfId="0" applyFont="1" applyBorder="1" applyAlignment="1">
      <alignment horizontal="right"/>
    </xf>
    <xf numFmtId="0" fontId="24" fillId="6" borderId="50" xfId="0" applyFont="1" applyFill="1" applyBorder="1"/>
    <xf numFmtId="164" fontId="24" fillId="0" borderId="50" xfId="0" applyNumberFormat="1" applyFont="1" applyBorder="1" applyAlignment="1">
      <alignment horizontal="right"/>
    </xf>
    <xf numFmtId="0" fontId="24" fillId="0" borderId="50" xfId="0" applyFont="1" applyBorder="1" applyAlignment="1">
      <alignment horizontal="center"/>
    </xf>
    <xf numFmtId="0" fontId="24" fillId="0" borderId="50" xfId="0" applyFont="1" applyBorder="1" applyAlignment="1">
      <alignment horizontal="left" vertical="top"/>
    </xf>
    <xf numFmtId="2" fontId="24" fillId="0" borderId="3" xfId="0" applyNumberFormat="1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2" fontId="24" fillId="0" borderId="50" xfId="0" applyNumberFormat="1" applyFont="1" applyBorder="1" applyAlignment="1">
      <alignment horizontal="center"/>
    </xf>
    <xf numFmtId="49" fontId="24" fillId="0" borderId="3" xfId="0" applyNumberFormat="1" applyFont="1" applyBorder="1" applyAlignment="1">
      <alignment horizontal="center"/>
    </xf>
    <xf numFmtId="0" fontId="54" fillId="0" borderId="3" xfId="0" applyFont="1" applyBorder="1" applyAlignment="1">
      <alignment horizontal="center"/>
    </xf>
    <xf numFmtId="0" fontId="55" fillId="0" borderId="0" xfId="0" applyFont="1"/>
    <xf numFmtId="49" fontId="24" fillId="0" borderId="50" xfId="0" applyNumberFormat="1" applyFont="1" applyBorder="1" applyAlignment="1">
      <alignment horizontal="center"/>
    </xf>
    <xf numFmtId="0" fontId="54" fillId="0" borderId="50" xfId="0" applyFont="1" applyBorder="1" applyAlignment="1">
      <alignment horizontal="center"/>
    </xf>
    <xf numFmtId="0" fontId="24" fillId="0" borderId="46" xfId="0" applyFont="1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 vertical="top"/>
    </xf>
    <xf numFmtId="14" fontId="2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2" fontId="56" fillId="0" borderId="0" xfId="0" applyNumberFormat="1" applyFont="1" applyAlignment="1">
      <alignment horizontal="center"/>
    </xf>
    <xf numFmtId="0" fontId="54" fillId="0" borderId="0" xfId="0" applyFont="1" applyAlignment="1">
      <alignment horizontal="center"/>
    </xf>
    <xf numFmtId="2" fontId="24" fillId="0" borderId="0" xfId="0" applyNumberFormat="1" applyFont="1"/>
    <xf numFmtId="2" fontId="23" fillId="5" borderId="32" xfId="2" applyNumberFormat="1" applyFont="1" applyFill="1" applyBorder="1" applyAlignment="1">
      <alignment horizontal="center" vertical="center"/>
    </xf>
    <xf numFmtId="0" fontId="58" fillId="0" borderId="45" xfId="3"/>
    <xf numFmtId="14" fontId="58" fillId="0" borderId="50" xfId="3" applyNumberFormat="1" applyBorder="1" applyAlignment="1">
      <alignment horizontal="center" vertical="center"/>
    </xf>
    <xf numFmtId="2" fontId="58" fillId="0" borderId="50" xfId="3" applyNumberFormat="1" applyBorder="1" applyAlignment="1">
      <alignment horizontal="center" vertical="center"/>
    </xf>
    <xf numFmtId="0" fontId="58" fillId="0" borderId="50" xfId="3" applyBorder="1" applyAlignment="1">
      <alignment horizontal="center" vertical="center"/>
    </xf>
    <xf numFmtId="1" fontId="58" fillId="0" borderId="50" xfId="3" applyNumberFormat="1" applyBorder="1" applyAlignment="1">
      <alignment horizontal="center" vertical="center"/>
    </xf>
    <xf numFmtId="14" fontId="58" fillId="0" borderId="50" xfId="3" applyNumberFormat="1" applyBorder="1" applyAlignment="1">
      <alignment horizontal="left" vertical="top"/>
    </xf>
    <xf numFmtId="0" fontId="58" fillId="4" borderId="45" xfId="3" applyFill="1"/>
    <xf numFmtId="0" fontId="58" fillId="0" borderId="50" xfId="3" applyBorder="1"/>
    <xf numFmtId="0" fontId="47" fillId="0" borderId="50" xfId="4" applyFont="1" applyBorder="1" applyAlignment="1">
      <alignment horizontal="center" vertical="center"/>
    </xf>
    <xf numFmtId="0" fontId="48" fillId="0" borderId="50" xfId="3" applyFont="1" applyBorder="1"/>
    <xf numFmtId="0" fontId="10" fillId="0" borderId="50" xfId="3" applyFont="1" applyBorder="1" applyAlignment="1">
      <alignment horizontal="center" vertical="center"/>
    </xf>
    <xf numFmtId="1" fontId="58" fillId="0" borderId="53" xfId="3" applyNumberFormat="1" applyBorder="1" applyAlignment="1">
      <alignment horizontal="center" vertical="center"/>
    </xf>
    <xf numFmtId="0" fontId="49" fillId="0" borderId="45" xfId="3" applyFont="1"/>
    <xf numFmtId="0" fontId="49" fillId="0" borderId="50" xfId="3" applyFont="1" applyBorder="1" applyAlignment="1">
      <alignment horizontal="center" vertical="center"/>
    </xf>
    <xf numFmtId="0" fontId="51" fillId="0" borderId="50" xfId="4" applyFont="1" applyBorder="1" applyAlignment="1">
      <alignment horizontal="center" vertical="center"/>
    </xf>
    <xf numFmtId="14" fontId="49" fillId="0" borderId="50" xfId="3" applyNumberFormat="1" applyFont="1" applyBorder="1" applyAlignment="1">
      <alignment horizontal="center" vertical="center"/>
    </xf>
    <xf numFmtId="2" fontId="49" fillId="0" borderId="50" xfId="3" applyNumberFormat="1" applyFont="1" applyBorder="1" applyAlignment="1">
      <alignment horizontal="center" vertical="center"/>
    </xf>
    <xf numFmtId="1" fontId="49" fillId="0" borderId="53" xfId="3" applyNumberFormat="1" applyFont="1" applyBorder="1" applyAlignment="1">
      <alignment horizontal="center" vertical="center"/>
    </xf>
    <xf numFmtId="1" fontId="49" fillId="0" borderId="50" xfId="3" applyNumberFormat="1" applyFont="1" applyBorder="1" applyAlignment="1">
      <alignment horizontal="center" vertical="center"/>
    </xf>
    <xf numFmtId="14" fontId="49" fillId="0" borderId="50" xfId="3" applyNumberFormat="1" applyFont="1" applyBorder="1" applyAlignment="1">
      <alignment horizontal="left" vertical="top" wrapText="1"/>
    </xf>
    <xf numFmtId="0" fontId="49" fillId="4" borderId="45" xfId="3" applyFont="1" applyFill="1"/>
    <xf numFmtId="0" fontId="49" fillId="0" borderId="50" xfId="3" applyFont="1" applyBorder="1"/>
    <xf numFmtId="0" fontId="41" fillId="0" borderId="74" xfId="3" applyFont="1" applyBorder="1" applyAlignment="1">
      <alignment horizontal="center" vertical="center"/>
    </xf>
    <xf numFmtId="0" fontId="41" fillId="0" borderId="73" xfId="3" applyFont="1" applyBorder="1" applyAlignment="1">
      <alignment horizontal="center" vertical="center"/>
    </xf>
    <xf numFmtId="0" fontId="41" fillId="0" borderId="73" xfId="3" applyFont="1" applyBorder="1" applyAlignment="1">
      <alignment horizontal="center" vertical="center" wrapText="1"/>
    </xf>
    <xf numFmtId="0" fontId="41" fillId="0" borderId="60" xfId="3" applyFont="1" applyBorder="1" applyAlignment="1">
      <alignment horizontal="center" vertical="center"/>
    </xf>
    <xf numFmtId="0" fontId="41" fillId="0" borderId="50" xfId="3" applyFont="1" applyBorder="1" applyAlignment="1">
      <alignment horizontal="center" vertical="center"/>
    </xf>
    <xf numFmtId="0" fontId="58" fillId="0" borderId="50" xfId="3" applyBorder="1" applyAlignment="1">
      <alignment horizontal="center"/>
    </xf>
    <xf numFmtId="0" fontId="41" fillId="0" borderId="59" xfId="3" applyFont="1" applyBorder="1" applyAlignment="1">
      <alignment horizontal="center" vertical="center" wrapText="1"/>
    </xf>
    <xf numFmtId="0" fontId="41" fillId="0" borderId="56" xfId="3" applyFont="1" applyBorder="1" applyAlignment="1">
      <alignment horizontal="center" vertical="center"/>
    </xf>
    <xf numFmtId="0" fontId="41" fillId="0" borderId="55" xfId="3" applyFont="1" applyBorder="1" applyAlignment="1">
      <alignment horizontal="center" vertical="center"/>
    </xf>
    <xf numFmtId="0" fontId="41" fillId="0" borderId="58" xfId="3" applyFont="1" applyBorder="1" applyAlignment="1">
      <alignment horizontal="center" vertical="center"/>
    </xf>
    <xf numFmtId="0" fontId="41" fillId="0" borderId="57" xfId="3" applyFont="1" applyBorder="1" applyAlignment="1">
      <alignment horizontal="center" vertical="center"/>
    </xf>
    <xf numFmtId="0" fontId="58" fillId="0" borderId="45" xfId="3" applyAlignment="1">
      <alignment horizontal="center"/>
    </xf>
    <xf numFmtId="0" fontId="46" fillId="0" borderId="45" xfId="3" applyFont="1"/>
    <xf numFmtId="0" fontId="43" fillId="0" borderId="45" xfId="3" applyFont="1"/>
    <xf numFmtId="49" fontId="45" fillId="0" borderId="45" xfId="3" applyNumberFormat="1" applyFont="1"/>
    <xf numFmtId="0" fontId="44" fillId="0" borderId="45" xfId="3" applyFont="1"/>
    <xf numFmtId="0" fontId="42" fillId="0" borderId="45" xfId="3" applyFont="1"/>
    <xf numFmtId="2" fontId="58" fillId="5" borderId="50" xfId="3" applyNumberFormat="1" applyFill="1" applyBorder="1" applyAlignment="1">
      <alignment horizontal="center" vertical="center"/>
    </xf>
    <xf numFmtId="2" fontId="23" fillId="5" borderId="1" xfId="4" applyNumberFormat="1" applyFont="1" applyFill="1" applyBorder="1" applyAlignment="1">
      <alignment horizontal="center" vertical="center"/>
    </xf>
    <xf numFmtId="2" fontId="23" fillId="5" borderId="32" xfId="4" applyNumberFormat="1" applyFont="1" applyFill="1" applyBorder="1" applyAlignment="1">
      <alignment horizontal="center" vertical="center"/>
    </xf>
    <xf numFmtId="0" fontId="10" fillId="0" borderId="0" xfId="0" applyFont="1"/>
    <xf numFmtId="2" fontId="24" fillId="5" borderId="50" xfId="0" applyNumberFormat="1" applyFont="1" applyFill="1" applyBorder="1" applyAlignment="1">
      <alignment horizontal="center"/>
    </xf>
    <xf numFmtId="2" fontId="24" fillId="5" borderId="46" xfId="0" applyNumberFormat="1" applyFont="1" applyFill="1" applyBorder="1" applyAlignment="1">
      <alignment horizontal="center"/>
    </xf>
    <xf numFmtId="0" fontId="26" fillId="0" borderId="32" xfId="3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/>
    </xf>
    <xf numFmtId="0" fontId="25" fillId="4" borderId="45" xfId="3" applyFont="1" applyFill="1"/>
    <xf numFmtId="0" fontId="9" fillId="0" borderId="45" xfId="3" applyFont="1"/>
    <xf numFmtId="0" fontId="25" fillId="4" borderId="44" xfId="3" applyFont="1" applyFill="1" applyBorder="1"/>
    <xf numFmtId="0" fontId="25" fillId="4" borderId="44" xfId="3" applyFont="1" applyFill="1" applyBorder="1" applyAlignment="1">
      <alignment horizontal="center"/>
    </xf>
    <xf numFmtId="0" fontId="24" fillId="4" borderId="45" xfId="3" applyFont="1" applyFill="1"/>
    <xf numFmtId="0" fontId="17" fillId="0" borderId="45" xfId="3" applyFont="1"/>
    <xf numFmtId="0" fontId="23" fillId="4" borderId="32" xfId="3" applyFont="1" applyFill="1" applyBorder="1"/>
    <xf numFmtId="0" fontId="23" fillId="0" borderId="45" xfId="3" applyFont="1" applyAlignment="1">
      <alignment horizontal="center" vertical="center"/>
    </xf>
    <xf numFmtId="1" fontId="25" fillId="5" borderId="32" xfId="3" applyNumberFormat="1" applyFont="1" applyFill="1" applyBorder="1" applyAlignment="1">
      <alignment horizontal="center" vertical="center"/>
    </xf>
    <xf numFmtId="1" fontId="25" fillId="5" borderId="45" xfId="3" applyNumberFormat="1" applyFont="1" applyFill="1"/>
    <xf numFmtId="1" fontId="59" fillId="5" borderId="32" xfId="3" applyNumberFormat="1" applyFont="1" applyFill="1" applyBorder="1" applyAlignment="1">
      <alignment horizontal="center" vertical="center"/>
    </xf>
    <xf numFmtId="1" fontId="60" fillId="5" borderId="32" xfId="3" applyNumberFormat="1" applyFont="1" applyFill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0" fontId="9" fillId="0" borderId="45" xfId="5"/>
    <xf numFmtId="14" fontId="9" fillId="0" borderId="45" xfId="5" applyNumberFormat="1" applyAlignment="1">
      <alignment horizontal="left"/>
    </xf>
    <xf numFmtId="0" fontId="23" fillId="0" borderId="32" xfId="5" applyFont="1" applyBorder="1" applyAlignment="1">
      <alignment horizontal="center" vertical="center"/>
    </xf>
    <xf numFmtId="0" fontId="26" fillId="0" borderId="32" xfId="5" applyFont="1" applyBorder="1" applyAlignment="1">
      <alignment horizontal="center" vertical="center"/>
    </xf>
    <xf numFmtId="49" fontId="23" fillId="0" borderId="32" xfId="5" applyNumberFormat="1" applyFont="1" applyBorder="1" applyAlignment="1">
      <alignment horizontal="center" vertical="center"/>
    </xf>
    <xf numFmtId="2" fontId="23" fillId="0" borderId="32" xfId="5" applyNumberFormat="1" applyFont="1" applyBorder="1" applyAlignment="1">
      <alignment horizontal="center" vertical="center"/>
    </xf>
    <xf numFmtId="14" fontId="23" fillId="0" borderId="46" xfId="5" applyNumberFormat="1" applyFont="1" applyBorder="1" applyAlignment="1">
      <alignment horizontal="left" vertical="top"/>
    </xf>
    <xf numFmtId="0" fontId="23" fillId="0" borderId="50" xfId="5" applyFont="1" applyBorder="1"/>
    <xf numFmtId="0" fontId="23" fillId="0" borderId="1" xfId="5" applyFont="1" applyBorder="1"/>
    <xf numFmtId="0" fontId="23" fillId="0" borderId="32" xfId="5" applyFont="1" applyBorder="1"/>
    <xf numFmtId="0" fontId="27" fillId="0" borderId="32" xfId="5" applyFont="1" applyBorder="1"/>
    <xf numFmtId="0" fontId="25" fillId="0" borderId="38" xfId="5" applyFont="1" applyBorder="1" applyAlignment="1">
      <alignment horizontal="center" vertical="center"/>
    </xf>
    <xf numFmtId="0" fontId="25" fillId="0" borderId="49" xfId="5" applyFont="1" applyBorder="1" applyAlignment="1">
      <alignment horizontal="center" vertical="center" wrapText="1"/>
    </xf>
    <xf numFmtId="0" fontId="25" fillId="0" borderId="41" xfId="5" applyFont="1" applyBorder="1" applyAlignment="1">
      <alignment horizontal="center" vertical="center"/>
    </xf>
    <xf numFmtId="0" fontId="25" fillId="0" borderId="36" xfId="5" applyFont="1" applyBorder="1" applyAlignment="1">
      <alignment horizontal="center" vertical="center"/>
    </xf>
    <xf numFmtId="0" fontId="25" fillId="0" borderId="44" xfId="5" applyFont="1" applyBorder="1" applyAlignment="1">
      <alignment horizontal="center" vertical="center" wrapText="1"/>
    </xf>
    <xf numFmtId="0" fontId="25" fillId="0" borderId="41" xfId="5" applyFont="1" applyBorder="1" applyAlignment="1">
      <alignment horizontal="center" vertical="center" wrapText="1"/>
    </xf>
    <xf numFmtId="0" fontId="25" fillId="0" borderId="36" xfId="5" applyFont="1" applyBorder="1" applyAlignment="1">
      <alignment horizontal="center" vertical="center" wrapText="1"/>
    </xf>
    <xf numFmtId="0" fontId="25" fillId="0" borderId="38" xfId="5" applyFont="1" applyBorder="1" applyAlignment="1">
      <alignment horizontal="center" vertical="center" wrapText="1"/>
    </xf>
    <xf numFmtId="0" fontId="25" fillId="0" borderId="45" xfId="5" applyFont="1" applyAlignment="1">
      <alignment horizontal="center" vertical="center" wrapText="1"/>
    </xf>
    <xf numFmtId="0" fontId="25" fillId="0" borderId="45" xfId="5" applyFont="1" applyAlignment="1">
      <alignment horizontal="center" vertical="center"/>
    </xf>
    <xf numFmtId="0" fontId="25" fillId="0" borderId="44" xfId="5" applyFont="1" applyBorder="1" applyAlignment="1">
      <alignment horizontal="center" vertical="center"/>
    </xf>
    <xf numFmtId="0" fontId="25" fillId="0" borderId="31" xfId="5" applyFont="1" applyBorder="1" applyAlignment="1">
      <alignment horizontal="center" vertical="center"/>
    </xf>
    <xf numFmtId="0" fontId="25" fillId="0" borderId="28" xfId="5" applyFont="1" applyBorder="1" applyAlignment="1">
      <alignment horizontal="center" vertical="center"/>
    </xf>
    <xf numFmtId="0" fontId="25" fillId="0" borderId="28" xfId="5" applyFont="1" applyBorder="1" applyAlignment="1">
      <alignment horizontal="center" vertical="center" wrapText="1"/>
    </xf>
    <xf numFmtId="0" fontId="23" fillId="0" borderId="32" xfId="5" applyFont="1" applyBorder="1" applyAlignment="1">
      <alignment horizontal="center"/>
    </xf>
    <xf numFmtId="0" fontId="23" fillId="0" borderId="2" xfId="5" applyFont="1" applyBorder="1"/>
    <xf numFmtId="0" fontId="22" fillId="0" borderId="45" xfId="5" applyFont="1"/>
    <xf numFmtId="0" fontId="18" fillId="0" borderId="45" xfId="5" applyFont="1"/>
    <xf numFmtId="49" fontId="20" fillId="0" borderId="45" xfId="5" applyNumberFormat="1" applyFont="1"/>
    <xf numFmtId="0" fontId="19" fillId="0" borderId="45" xfId="5" applyFont="1"/>
    <xf numFmtId="0" fontId="17" fillId="0" borderId="45" xfId="5" applyFont="1"/>
    <xf numFmtId="1" fontId="23" fillId="0" borderId="32" xfId="5" applyNumberFormat="1" applyFont="1" applyBorder="1" applyAlignment="1">
      <alignment horizontal="center" vertical="center"/>
    </xf>
    <xf numFmtId="0" fontId="23" fillId="0" borderId="45" xfId="5" applyFont="1"/>
    <xf numFmtId="0" fontId="23" fillId="0" borderId="54" xfId="5" applyFont="1" applyBorder="1"/>
    <xf numFmtId="0" fontId="61" fillId="0" borderId="50" xfId="3" applyFont="1" applyBorder="1"/>
    <xf numFmtId="0" fontId="61" fillId="0" borderId="50" xfId="3" applyFont="1" applyBorder="1" applyAlignment="1">
      <alignment horizontal="center" vertical="center"/>
    </xf>
    <xf numFmtId="0" fontId="61" fillId="4" borderId="45" xfId="3" applyFont="1" applyFill="1"/>
    <xf numFmtId="14" fontId="61" fillId="0" borderId="50" xfId="3" applyNumberFormat="1" applyFont="1" applyBorder="1" applyAlignment="1">
      <alignment horizontal="left" vertical="top"/>
    </xf>
    <xf numFmtId="1" fontId="61" fillId="0" borderId="50" xfId="3" applyNumberFormat="1" applyFont="1" applyBorder="1" applyAlignment="1">
      <alignment horizontal="center" vertical="center"/>
    </xf>
    <xf numFmtId="2" fontId="61" fillId="0" borderId="50" xfId="3" applyNumberFormat="1" applyFont="1" applyBorder="1" applyAlignment="1">
      <alignment horizontal="center" vertical="center"/>
    </xf>
    <xf numFmtId="2" fontId="62" fillId="0" borderId="50" xfId="3" applyNumberFormat="1" applyFont="1" applyBorder="1" applyAlignment="1">
      <alignment horizontal="center" vertical="center"/>
    </xf>
    <xf numFmtId="0" fontId="61" fillId="0" borderId="50" xfId="3" applyFont="1" applyBorder="1" applyAlignment="1">
      <alignment horizontal="left" vertical="center"/>
    </xf>
    <xf numFmtId="14" fontId="61" fillId="0" borderId="50" xfId="3" applyNumberFormat="1" applyFont="1" applyBorder="1" applyAlignment="1">
      <alignment horizontal="center" vertical="center"/>
    </xf>
    <xf numFmtId="2" fontId="57" fillId="0" borderId="50" xfId="3" applyNumberFormat="1" applyFont="1" applyBorder="1" applyAlignment="1">
      <alignment horizontal="center" vertical="center"/>
    </xf>
    <xf numFmtId="0" fontId="61" fillId="0" borderId="45" xfId="3" applyFont="1"/>
    <xf numFmtId="0" fontId="24" fillId="0" borderId="32" xfId="3" applyFont="1" applyBorder="1" applyAlignment="1">
      <alignment horizontal="center" vertical="center"/>
    </xf>
    <xf numFmtId="0" fontId="24" fillId="0" borderId="45" xfId="3" applyFont="1" applyAlignment="1">
      <alignment horizontal="center" vertical="center"/>
    </xf>
    <xf numFmtId="0" fontId="23" fillId="0" borderId="45" xfId="3" applyFont="1"/>
    <xf numFmtId="0" fontId="25" fillId="0" borderId="45" xfId="3" applyFont="1"/>
    <xf numFmtId="0" fontId="18" fillId="0" borderId="45" xfId="3" applyFont="1"/>
    <xf numFmtId="0" fontId="19" fillId="0" borderId="45" xfId="3" applyFont="1"/>
    <xf numFmtId="49" fontId="20" fillId="0" borderId="45" xfId="3" applyNumberFormat="1" applyFont="1"/>
    <xf numFmtId="0" fontId="22" fillId="0" borderId="45" xfId="3" applyFont="1"/>
    <xf numFmtId="0" fontId="25" fillId="0" borderId="28" xfId="3" applyFont="1" applyBorder="1" applyAlignment="1">
      <alignment horizontal="center" vertical="center"/>
    </xf>
    <xf numFmtId="0" fontId="25" fillId="0" borderId="32" xfId="3" applyFont="1" applyBorder="1"/>
    <xf numFmtId="0" fontId="23" fillId="0" borderId="32" xfId="3" applyFont="1" applyBorder="1"/>
    <xf numFmtId="14" fontId="23" fillId="0" borderId="32" xfId="3" applyNumberFormat="1" applyFont="1" applyBorder="1" applyAlignment="1">
      <alignment horizontal="left" vertical="top"/>
    </xf>
    <xf numFmtId="2" fontId="23" fillId="0" borderId="32" xfId="3" applyNumberFormat="1" applyFont="1" applyBorder="1" applyAlignment="1">
      <alignment horizontal="center" vertical="center"/>
    </xf>
    <xf numFmtId="49" fontId="23" fillId="0" borderId="41" xfId="3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/>
    </xf>
    <xf numFmtId="164" fontId="23" fillId="0" borderId="32" xfId="3" applyNumberFormat="1" applyFont="1" applyBorder="1"/>
    <xf numFmtId="0" fontId="28" fillId="0" borderId="32" xfId="3" applyFont="1" applyBorder="1"/>
    <xf numFmtId="0" fontId="23" fillId="0" borderId="41" xfId="3" applyFont="1" applyBorder="1" applyAlignment="1">
      <alignment horizontal="center" wrapText="1"/>
    </xf>
    <xf numFmtId="0" fontId="23" fillId="0" borderId="50" xfId="3" applyFont="1" applyBorder="1"/>
    <xf numFmtId="0" fontId="23" fillId="0" borderId="46" xfId="3" applyFont="1" applyBorder="1"/>
    <xf numFmtId="0" fontId="25" fillId="0" borderId="34" xfId="3" applyFont="1" applyBorder="1" applyAlignment="1">
      <alignment horizontal="center" vertical="top" wrapText="1"/>
    </xf>
    <xf numFmtId="0" fontId="25" fillId="0" borderId="34" xfId="3" applyFont="1" applyBorder="1" applyAlignment="1">
      <alignment vertical="center" wrapText="1"/>
    </xf>
    <xf numFmtId="0" fontId="25" fillId="0" borderId="9" xfId="3" applyFont="1" applyBorder="1" applyAlignment="1">
      <alignment vertical="center" wrapText="1"/>
    </xf>
    <xf numFmtId="0" fontId="25" fillId="0" borderId="9" xfId="3" applyFont="1" applyBorder="1" applyAlignment="1">
      <alignment horizontal="center" vertical="center"/>
    </xf>
    <xf numFmtId="0" fontId="24" fillId="0" borderId="47" xfId="3" applyFont="1" applyBorder="1"/>
    <xf numFmtId="0" fontId="23" fillId="0" borderId="50" xfId="3" applyFont="1" applyBorder="1" applyAlignment="1">
      <alignment horizontal="center"/>
    </xf>
    <xf numFmtId="0" fontId="23" fillId="0" borderId="46" xfId="3" applyFont="1" applyBorder="1" applyAlignment="1">
      <alignment horizontal="center"/>
    </xf>
    <xf numFmtId="0" fontId="25" fillId="0" borderId="28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/>
    </xf>
    <xf numFmtId="0" fontId="23" fillId="0" borderId="1" xfId="3" applyFont="1" applyBorder="1"/>
    <xf numFmtId="2" fontId="23" fillId="0" borderId="32" xfId="3" applyNumberFormat="1" applyFont="1" applyBorder="1"/>
    <xf numFmtId="0" fontId="24" fillId="0" borderId="44" xfId="3" applyFont="1" applyBorder="1"/>
    <xf numFmtId="0" fontId="25" fillId="0" borderId="41" xfId="3" applyFont="1" applyBorder="1" applyAlignment="1">
      <alignment horizontal="center" vertical="center" wrapText="1"/>
    </xf>
    <xf numFmtId="0" fontId="24" fillId="0" borderId="54" xfId="3" applyFont="1" applyBorder="1"/>
    <xf numFmtId="0" fontId="24" fillId="0" borderId="17" xfId="3" applyFont="1" applyBorder="1"/>
    <xf numFmtId="0" fontId="25" fillId="0" borderId="41" xfId="3" applyFont="1" applyBorder="1" applyAlignment="1">
      <alignment horizontal="center" vertical="center"/>
    </xf>
    <xf numFmtId="0" fontId="25" fillId="0" borderId="38" xfId="3" applyFont="1" applyBorder="1" applyAlignment="1">
      <alignment horizontal="center" vertical="center"/>
    </xf>
    <xf numFmtId="0" fontId="28" fillId="0" borderId="1" xfId="3" applyFont="1" applyBorder="1"/>
    <xf numFmtId="1" fontId="23" fillId="0" borderId="32" xfId="3" applyNumberFormat="1" applyFont="1" applyBorder="1" applyAlignment="1">
      <alignment horizontal="center" vertical="center"/>
    </xf>
    <xf numFmtId="14" fontId="23" fillId="0" borderId="17" xfId="3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/>
    </xf>
    <xf numFmtId="0" fontId="23" fillId="0" borderId="54" xfId="3" applyFont="1" applyBorder="1" applyAlignment="1">
      <alignment horizontal="center" vertical="center"/>
    </xf>
    <xf numFmtId="14" fontId="24" fillId="0" borderId="17" xfId="3" applyNumberFormat="1" applyFont="1" applyBorder="1"/>
    <xf numFmtId="0" fontId="23" fillId="0" borderId="32" xfId="3" applyFont="1" applyBorder="1" applyAlignment="1">
      <alignment horizontal="left" vertical="center"/>
    </xf>
    <xf numFmtId="14" fontId="23" fillId="0" borderId="45" xfId="3" applyNumberFormat="1" applyFont="1"/>
    <xf numFmtId="49" fontId="23" fillId="0" borderId="32" xfId="3" applyNumberFormat="1" applyFont="1" applyBorder="1" applyAlignment="1">
      <alignment horizontal="center" vertical="center"/>
    </xf>
    <xf numFmtId="2" fontId="23" fillId="0" borderId="45" xfId="3" applyNumberFormat="1" applyFont="1"/>
    <xf numFmtId="49" fontId="23" fillId="0" borderId="17" xfId="3" applyNumberFormat="1" applyFont="1" applyBorder="1" applyAlignment="1">
      <alignment horizontal="center" vertical="center"/>
    </xf>
    <xf numFmtId="0" fontId="29" fillId="0" borderId="32" xfId="3" applyFont="1" applyBorder="1"/>
    <xf numFmtId="164" fontId="23" fillId="0" borderId="45" xfId="3" applyNumberFormat="1" applyFont="1"/>
    <xf numFmtId="14" fontId="23" fillId="0" borderId="45" xfId="3" applyNumberFormat="1" applyFont="1" applyAlignment="1">
      <alignment horizontal="left" vertical="top"/>
    </xf>
    <xf numFmtId="2" fontId="23" fillId="0" borderId="45" xfId="3" applyNumberFormat="1" applyFont="1" applyAlignment="1">
      <alignment horizontal="center" vertical="center"/>
    </xf>
    <xf numFmtId="14" fontId="23" fillId="0" borderId="45" xfId="3" applyNumberFormat="1" applyFont="1" applyAlignment="1">
      <alignment horizontal="center" vertical="center"/>
    </xf>
    <xf numFmtId="1" fontId="25" fillId="0" borderId="45" xfId="3" applyNumberFormat="1" applyFont="1" applyAlignment="1">
      <alignment horizontal="center" vertical="center"/>
    </xf>
    <xf numFmtId="49" fontId="23" fillId="0" borderId="45" xfId="3" applyNumberFormat="1" applyFont="1" applyAlignment="1">
      <alignment horizontal="center" vertical="center"/>
    </xf>
    <xf numFmtId="0" fontId="26" fillId="0" borderId="45" xfId="3" applyFont="1" applyAlignment="1">
      <alignment horizontal="center" vertical="center"/>
    </xf>
    <xf numFmtId="0" fontId="23" fillId="0" borderId="2" xfId="3" applyFont="1" applyBorder="1"/>
    <xf numFmtId="0" fontId="25" fillId="0" borderId="34" xfId="3" applyFont="1" applyBorder="1" applyAlignment="1">
      <alignment horizontal="center" vertical="center"/>
    </xf>
    <xf numFmtId="0" fontId="23" fillId="0" borderId="32" xfId="3" applyFont="1" applyBorder="1" applyAlignment="1">
      <alignment horizontal="center"/>
    </xf>
    <xf numFmtId="0" fontId="23" fillId="0" borderId="32" xfId="3" applyFont="1" applyBorder="1" applyAlignment="1">
      <alignment wrapText="1"/>
    </xf>
    <xf numFmtId="0" fontId="25" fillId="0" borderId="32" xfId="3" applyFont="1" applyBorder="1" applyAlignment="1">
      <alignment horizontal="center" vertical="center"/>
    </xf>
    <xf numFmtId="0" fontId="30" fillId="0" borderId="32" xfId="3" applyFont="1" applyBorder="1"/>
    <xf numFmtId="0" fontId="28" fillId="0" borderId="45" xfId="3" applyFont="1"/>
    <xf numFmtId="0" fontId="23" fillId="0" borderId="46" xfId="3" applyFont="1" applyBorder="1" applyAlignment="1">
      <alignment horizontal="center" vertical="center"/>
    </xf>
    <xf numFmtId="2" fontId="58" fillId="0" borderId="45" xfId="3" applyNumberFormat="1"/>
    <xf numFmtId="1" fontId="58" fillId="0" borderId="45" xfId="3" applyNumberFormat="1"/>
    <xf numFmtId="2" fontId="25" fillId="5" borderId="32" xfId="3" applyNumberFormat="1" applyFont="1" applyFill="1" applyBorder="1" applyAlignment="1">
      <alignment horizontal="center" vertical="center"/>
    </xf>
    <xf numFmtId="1" fontId="24" fillId="0" borderId="44" xfId="3" applyNumberFormat="1" applyFont="1" applyBorder="1"/>
    <xf numFmtId="0" fontId="40" fillId="5" borderId="44" xfId="3" applyFont="1" applyFill="1" applyBorder="1"/>
    <xf numFmtId="0" fontId="41" fillId="5" borderId="45" xfId="3" applyFont="1" applyFill="1"/>
    <xf numFmtId="2" fontId="63" fillId="0" borderId="32" xfId="3" applyNumberFormat="1" applyFont="1" applyBorder="1" applyAlignment="1">
      <alignment horizontal="center" vertical="center"/>
    </xf>
    <xf numFmtId="0" fontId="63" fillId="0" borderId="32" xfId="3" applyFont="1" applyBorder="1" applyAlignment="1">
      <alignment horizontal="center" vertical="center"/>
    </xf>
    <xf numFmtId="0" fontId="10" fillId="0" borderId="45" xfId="4"/>
    <xf numFmtId="0" fontId="17" fillId="0" borderId="45" xfId="4" applyFont="1"/>
    <xf numFmtId="0" fontId="18" fillId="0" borderId="45" xfId="4" applyFont="1"/>
    <xf numFmtId="0" fontId="19" fillId="0" borderId="45" xfId="4" applyFont="1"/>
    <xf numFmtId="0" fontId="22" fillId="0" borderId="45" xfId="4" applyFont="1"/>
    <xf numFmtId="0" fontId="23" fillId="0" borderId="32" xfId="4" applyFont="1" applyBorder="1"/>
    <xf numFmtId="0" fontId="23" fillId="0" borderId="1" xfId="4" applyFont="1" applyBorder="1"/>
    <xf numFmtId="0" fontId="25" fillId="0" borderId="11" xfId="4" applyFont="1" applyBorder="1" applyAlignment="1">
      <alignment horizontal="center" vertical="center"/>
    </xf>
    <xf numFmtId="0" fontId="23" fillId="0" borderId="32" xfId="4" applyFont="1" applyBorder="1" applyAlignment="1">
      <alignment horizontal="center"/>
    </xf>
    <xf numFmtId="0" fontId="23" fillId="0" borderId="47" xfId="4" applyFont="1" applyBorder="1"/>
    <xf numFmtId="0" fontId="25" fillId="0" borderId="32" xfId="4" applyFont="1" applyBorder="1" applyAlignment="1">
      <alignment horizontal="center" vertical="center"/>
    </xf>
    <xf numFmtId="0" fontId="25" fillId="0" borderId="41" xfId="4" applyFont="1" applyBorder="1" applyAlignment="1">
      <alignment horizontal="center" vertical="center"/>
    </xf>
    <xf numFmtId="0" fontId="25" fillId="0" borderId="87" xfId="4" applyFont="1" applyBorder="1" applyAlignment="1">
      <alignment horizontal="center" vertical="center" wrapText="1"/>
    </xf>
    <xf numFmtId="0" fontId="25" fillId="0" borderId="28" xfId="4" applyFont="1" applyBorder="1" applyAlignment="1">
      <alignment horizontal="center" vertical="center" wrapText="1"/>
    </xf>
    <xf numFmtId="0" fontId="25" fillId="0" borderId="28" xfId="4" applyFont="1" applyBorder="1" applyAlignment="1">
      <alignment horizontal="center" vertical="center"/>
    </xf>
    <xf numFmtId="0" fontId="25" fillId="0" borderId="31" xfId="4" applyFont="1" applyBorder="1" applyAlignment="1">
      <alignment horizontal="center" vertical="center"/>
    </xf>
    <xf numFmtId="0" fontId="23" fillId="0" borderId="32" xfId="4" applyFont="1" applyBorder="1" applyAlignment="1">
      <alignment horizontal="center" vertical="center"/>
    </xf>
    <xf numFmtId="14" fontId="23" fillId="0" borderId="46" xfId="4" applyNumberFormat="1" applyFont="1" applyBorder="1" applyAlignment="1">
      <alignment horizontal="left" vertical="top"/>
    </xf>
    <xf numFmtId="2" fontId="23" fillId="0" borderId="32" xfId="4" applyNumberFormat="1" applyFont="1" applyBorder="1" applyAlignment="1">
      <alignment horizontal="center" vertical="center"/>
    </xf>
    <xf numFmtId="49" fontId="23" fillId="0" borderId="45" xfId="4" applyNumberFormat="1" applyFont="1" applyAlignment="1">
      <alignment horizontal="center" vertical="center"/>
    </xf>
    <xf numFmtId="0" fontId="24" fillId="0" borderId="47" xfId="4" applyFont="1" applyBorder="1"/>
    <xf numFmtId="0" fontId="23" fillId="0" borderId="46" xfId="4" applyFont="1" applyBorder="1" applyAlignment="1">
      <alignment horizontal="center" vertical="center"/>
    </xf>
    <xf numFmtId="0" fontId="23" fillId="0" borderId="45" xfId="4" applyFont="1"/>
    <xf numFmtId="0" fontId="23" fillId="0" borderId="45" xfId="4" applyFont="1" applyAlignment="1">
      <alignment horizontal="center" vertical="center"/>
    </xf>
    <xf numFmtId="14" fontId="23" fillId="0" borderId="45" xfId="4" applyNumberFormat="1" applyFont="1" applyAlignment="1">
      <alignment horizontal="left" vertical="top"/>
    </xf>
    <xf numFmtId="2" fontId="23" fillId="0" borderId="45" xfId="4" applyNumberFormat="1" applyFont="1" applyAlignment="1">
      <alignment horizontal="center" vertical="center"/>
    </xf>
    <xf numFmtId="0" fontId="17" fillId="0" borderId="45" xfId="2" applyFont="1"/>
    <xf numFmtId="0" fontId="11" fillId="0" borderId="45" xfId="2"/>
    <xf numFmtId="0" fontId="18" fillId="0" borderId="45" xfId="2" applyFont="1"/>
    <xf numFmtId="0" fontId="19" fillId="0" borderId="45" xfId="2" applyFont="1"/>
    <xf numFmtId="49" fontId="20" fillId="0" borderId="45" xfId="2" applyNumberFormat="1" applyFont="1"/>
    <xf numFmtId="0" fontId="22" fillId="0" borderId="45" xfId="2" applyFont="1"/>
    <xf numFmtId="0" fontId="11" fillId="0" borderId="80" xfId="2" applyBorder="1"/>
    <xf numFmtId="0" fontId="23" fillId="0" borderId="32" xfId="2" applyFont="1" applyBorder="1"/>
    <xf numFmtId="0" fontId="23" fillId="0" borderId="1" xfId="2" applyFont="1" applyBorder="1"/>
    <xf numFmtId="0" fontId="23" fillId="0" borderId="2" xfId="2" applyFont="1" applyBorder="1"/>
    <xf numFmtId="0" fontId="23" fillId="0" borderId="48" xfId="2" applyFont="1" applyBorder="1"/>
    <xf numFmtId="0" fontId="25" fillId="0" borderId="34" xfId="2" applyFont="1" applyBorder="1" applyAlignment="1">
      <alignment horizontal="center" vertical="center"/>
    </xf>
    <xf numFmtId="0" fontId="23" fillId="0" borderId="32" xfId="2" applyFont="1" applyBorder="1" applyAlignment="1">
      <alignment horizontal="center"/>
    </xf>
    <xf numFmtId="0" fontId="25" fillId="0" borderId="32" xfId="2" applyFont="1" applyBorder="1" applyAlignment="1">
      <alignment horizontal="center" vertical="center"/>
    </xf>
    <xf numFmtId="0" fontId="25" fillId="0" borderId="41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 wrapText="1"/>
    </xf>
    <xf numFmtId="0" fontId="25" fillId="0" borderId="28" xfId="2" applyFont="1" applyBorder="1" applyAlignment="1">
      <alignment horizontal="center" vertical="center"/>
    </xf>
    <xf numFmtId="0" fontId="25" fillId="0" borderId="31" xfId="2" applyFont="1" applyBorder="1" applyAlignment="1">
      <alignment horizontal="center" vertical="center"/>
    </xf>
    <xf numFmtId="0" fontId="24" fillId="0" borderId="44" xfId="2" applyFont="1" applyBorder="1"/>
    <xf numFmtId="0" fontId="24" fillId="0" borderId="45" xfId="2" applyFont="1"/>
    <xf numFmtId="0" fontId="25" fillId="0" borderId="41" xfId="2" applyFont="1" applyBorder="1" applyAlignment="1">
      <alignment horizontal="center" vertical="center" wrapText="1"/>
    </xf>
    <xf numFmtId="0" fontId="24" fillId="0" borderId="54" xfId="2" applyFont="1" applyBorder="1"/>
    <xf numFmtId="0" fontId="24" fillId="0" borderId="17" xfId="2" applyFont="1" applyBorder="1"/>
    <xf numFmtId="0" fontId="25" fillId="0" borderId="38" xfId="2" applyFont="1" applyBorder="1" applyAlignment="1">
      <alignment horizontal="center" vertical="center"/>
    </xf>
    <xf numFmtId="0" fontId="24" fillId="0" borderId="49" xfId="2" applyFont="1" applyBorder="1"/>
    <xf numFmtId="0" fontId="23" fillId="0" borderId="46" xfId="2" applyFont="1" applyBorder="1"/>
    <xf numFmtId="0" fontId="23" fillId="0" borderId="32" xfId="2" applyFont="1" applyBorder="1" applyAlignment="1">
      <alignment horizontal="center" vertical="center"/>
    </xf>
    <xf numFmtId="0" fontId="11" fillId="0" borderId="50" xfId="2" applyBorder="1"/>
    <xf numFmtId="14" fontId="23" fillId="0" borderId="46" xfId="2" applyNumberFormat="1" applyFont="1" applyBorder="1" applyAlignment="1">
      <alignment horizontal="left" vertical="top"/>
    </xf>
    <xf numFmtId="2" fontId="23" fillId="0" borderId="32" xfId="2" applyNumberFormat="1" applyFont="1" applyBorder="1" applyAlignment="1">
      <alignment horizontal="center" vertical="center"/>
    </xf>
    <xf numFmtId="0" fontId="26" fillId="0" borderId="32" xfId="2" applyFont="1" applyBorder="1" applyAlignment="1">
      <alignment horizontal="center" vertical="center"/>
    </xf>
    <xf numFmtId="164" fontId="23" fillId="0" borderId="32" xfId="2" applyNumberFormat="1" applyFont="1" applyBorder="1"/>
    <xf numFmtId="2" fontId="23" fillId="0" borderId="46" xfId="2" applyNumberFormat="1" applyFont="1" applyBorder="1" applyAlignment="1">
      <alignment horizontal="center" vertical="center"/>
    </xf>
    <xf numFmtId="0" fontId="23" fillId="0" borderId="45" xfId="2" applyFont="1"/>
    <xf numFmtId="2" fontId="23" fillId="0" borderId="44" xfId="2" applyNumberFormat="1" applyFont="1" applyBorder="1" applyAlignment="1">
      <alignment horizontal="center" vertical="center"/>
    </xf>
    <xf numFmtId="0" fontId="23" fillId="0" borderId="41" xfId="2" applyFont="1" applyBorder="1" applyAlignment="1">
      <alignment horizontal="center" vertical="center"/>
    </xf>
    <xf numFmtId="0" fontId="23" fillId="0" borderId="38" xfId="2" applyFont="1" applyBorder="1" applyAlignment="1">
      <alignment horizontal="center" vertical="center"/>
    </xf>
    <xf numFmtId="0" fontId="26" fillId="0" borderId="49" xfId="2" applyFont="1" applyBorder="1" applyAlignment="1">
      <alignment horizontal="center" vertical="center"/>
    </xf>
    <xf numFmtId="0" fontId="23" fillId="0" borderId="54" xfId="2" applyFont="1" applyBorder="1" applyAlignment="1">
      <alignment horizontal="center" vertical="center"/>
    </xf>
    <xf numFmtId="0" fontId="23" fillId="0" borderId="32" xfId="2" applyFont="1" applyBorder="1" applyAlignment="1">
      <alignment horizontal="left" vertical="center"/>
    </xf>
    <xf numFmtId="0" fontId="8" fillId="0" borderId="45" xfId="4" applyFont="1"/>
    <xf numFmtId="0" fontId="64" fillId="0" borderId="32" xfId="4" applyFont="1" applyBorder="1" applyAlignment="1">
      <alignment horizontal="center" vertical="center"/>
    </xf>
    <xf numFmtId="0" fontId="64" fillId="0" borderId="45" xfId="4" applyFont="1" applyAlignment="1">
      <alignment horizontal="center" vertical="center"/>
    </xf>
    <xf numFmtId="2" fontId="8" fillId="0" borderId="45" xfId="4" applyNumberFormat="1" applyFont="1"/>
    <xf numFmtId="0" fontId="8" fillId="4" borderId="50" xfId="4" applyFont="1" applyFill="1" applyBorder="1"/>
    <xf numFmtId="0" fontId="23" fillId="0" borderId="41" xfId="2" applyFont="1" applyBorder="1"/>
    <xf numFmtId="0" fontId="23" fillId="0" borderId="44" xfId="2" applyFont="1" applyBorder="1"/>
    <xf numFmtId="0" fontId="23" fillId="0" borderId="44" xfId="2" applyFont="1" applyBorder="1" applyAlignment="1">
      <alignment horizontal="center" vertical="center"/>
    </xf>
    <xf numFmtId="0" fontId="23" fillId="0" borderId="54" xfId="2" applyFont="1" applyBorder="1"/>
    <xf numFmtId="14" fontId="23" fillId="0" borderId="36" xfId="2" applyNumberFormat="1" applyFont="1" applyBorder="1" applyAlignment="1">
      <alignment horizontal="left" vertical="top"/>
    </xf>
    <xf numFmtId="2" fontId="23" fillId="0" borderId="41" xfId="2" applyNumberFormat="1" applyFont="1" applyBorder="1" applyAlignment="1">
      <alignment horizontal="center" vertical="center"/>
    </xf>
    <xf numFmtId="2" fontId="23" fillId="0" borderId="54" xfId="2" applyNumberFormat="1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4" borderId="32" xfId="2" applyFont="1" applyFill="1" applyBorder="1" applyAlignment="1">
      <alignment horizontal="center" vertical="center"/>
    </xf>
    <xf numFmtId="0" fontId="8" fillId="0" borderId="50" xfId="3" applyFont="1" applyBorder="1" applyAlignment="1">
      <alignment horizontal="center" vertical="center"/>
    </xf>
    <xf numFmtId="0" fontId="23" fillId="0" borderId="32" xfId="5" applyFont="1" applyBorder="1" applyAlignment="1">
      <alignment horizontal="center" vertical="center" wrapText="1"/>
    </xf>
    <xf numFmtId="2" fontId="23" fillId="5" borderId="32" xfId="5" applyNumberFormat="1" applyFont="1" applyFill="1" applyBorder="1" applyAlignment="1">
      <alignment horizontal="center" vertical="center"/>
    </xf>
    <xf numFmtId="0" fontId="9" fillId="5" borderId="45" xfId="5" applyFill="1"/>
    <xf numFmtId="0" fontId="9" fillId="4" borderId="50" xfId="5" applyFill="1" applyBorder="1"/>
    <xf numFmtId="0" fontId="9" fillId="4" borderId="45" xfId="5" applyFill="1"/>
    <xf numFmtId="0" fontId="7" fillId="0" borderId="45" xfId="3" applyFont="1"/>
    <xf numFmtId="2" fontId="9" fillId="0" borderId="45" xfId="5" applyNumberFormat="1"/>
    <xf numFmtId="14" fontId="9" fillId="0" borderId="45" xfId="5" applyNumberFormat="1"/>
    <xf numFmtId="0" fontId="27" fillId="0" borderId="45" xfId="5" applyFont="1"/>
    <xf numFmtId="0" fontId="23" fillId="0" borderId="45" xfId="5" applyFont="1" applyAlignment="1">
      <alignment horizontal="center" vertical="center"/>
    </xf>
    <xf numFmtId="14" fontId="23" fillId="0" borderId="45" xfId="5" applyNumberFormat="1" applyFont="1" applyAlignment="1">
      <alignment horizontal="left" vertical="top"/>
    </xf>
    <xf numFmtId="1" fontId="23" fillId="0" borderId="45" xfId="5" applyNumberFormat="1" applyFont="1" applyAlignment="1">
      <alignment horizontal="center" vertical="center"/>
    </xf>
    <xf numFmtId="2" fontId="23" fillId="0" borderId="45" xfId="5" applyNumberFormat="1" applyFont="1" applyAlignment="1">
      <alignment horizontal="center" vertical="center"/>
    </xf>
    <xf numFmtId="0" fontId="26" fillId="0" borderId="45" xfId="5" applyFont="1" applyAlignment="1">
      <alignment horizontal="center" vertical="center"/>
    </xf>
    <xf numFmtId="49" fontId="50" fillId="0" borderId="41" xfId="3" applyNumberFormat="1" applyFont="1" applyBorder="1" applyAlignment="1">
      <alignment horizontal="center" vertical="center"/>
    </xf>
    <xf numFmtId="0" fontId="6" fillId="0" borderId="0" xfId="0" applyFont="1"/>
    <xf numFmtId="0" fontId="23" fillId="7" borderId="32" xfId="3" applyFont="1" applyFill="1" applyBorder="1" applyAlignment="1">
      <alignment horizontal="center" vertical="center"/>
    </xf>
    <xf numFmtId="0" fontId="5" fillId="0" borderId="45" xfId="4" applyFont="1"/>
    <xf numFmtId="0" fontId="24" fillId="0" borderId="32" xfId="3" applyFont="1" applyBorder="1"/>
    <xf numFmtId="14" fontId="24" fillId="0" borderId="32" xfId="3" applyNumberFormat="1" applyFont="1" applyBorder="1" applyAlignment="1">
      <alignment horizontal="left" vertical="top"/>
    </xf>
    <xf numFmtId="1" fontId="24" fillId="0" borderId="32" xfId="3" applyNumberFormat="1" applyFont="1" applyBorder="1" applyAlignment="1">
      <alignment horizontal="center" vertical="center"/>
    </xf>
    <xf numFmtId="14" fontId="24" fillId="0" borderId="32" xfId="3" applyNumberFormat="1" applyFont="1" applyBorder="1"/>
    <xf numFmtId="2" fontId="24" fillId="0" borderId="32" xfId="3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left" vertical="top"/>
    </xf>
    <xf numFmtId="14" fontId="23" fillId="0" borderId="32" xfId="3" applyNumberFormat="1" applyFont="1" applyBorder="1"/>
    <xf numFmtId="14" fontId="23" fillId="0" borderId="32" xfId="3" applyNumberFormat="1" applyFont="1" applyBorder="1" applyAlignment="1">
      <alignment horizontal="center" vertical="center"/>
    </xf>
    <xf numFmtId="164" fontId="30" fillId="0" borderId="32" xfId="3" applyNumberFormat="1" applyFont="1" applyBorder="1"/>
    <xf numFmtId="0" fontId="25" fillId="4" borderId="32" xfId="3" applyFont="1" applyFill="1" applyBorder="1"/>
    <xf numFmtId="0" fontId="25" fillId="0" borderId="87" xfId="3" applyFont="1" applyBorder="1" applyAlignment="1">
      <alignment horizontal="center" vertical="center"/>
    </xf>
    <xf numFmtId="0" fontId="65" fillId="0" borderId="32" xfId="3" applyFont="1" applyBorder="1"/>
    <xf numFmtId="0" fontId="65" fillId="0" borderId="32" xfId="3" applyFont="1" applyBorder="1" applyAlignment="1">
      <alignment horizontal="left"/>
    </xf>
    <xf numFmtId="0" fontId="66" fillId="0" borderId="32" xfId="0" applyFont="1" applyBorder="1"/>
    <xf numFmtId="0" fontId="65" fillId="0" borderId="32" xfId="0" applyFont="1" applyBorder="1"/>
    <xf numFmtId="0" fontId="65" fillId="0" borderId="32" xfId="0" applyFont="1" applyBorder="1" applyAlignment="1">
      <alignment wrapText="1"/>
    </xf>
    <xf numFmtId="0" fontId="25" fillId="0" borderId="41" xfId="0" applyFont="1" applyBorder="1" applyAlignment="1">
      <alignment horizontal="center" vertical="center"/>
    </xf>
    <xf numFmtId="2" fontId="0" fillId="0" borderId="0" xfId="0" applyNumberFormat="1"/>
    <xf numFmtId="14" fontId="24" fillId="0" borderId="50" xfId="0" applyNumberFormat="1" applyFont="1" applyBorder="1" applyAlignment="1">
      <alignment horizontal="left" vertical="top"/>
    </xf>
    <xf numFmtId="0" fontId="28" fillId="4" borderId="0" xfId="0" applyFont="1" applyFill="1" applyAlignment="1">
      <alignment horizontal="right"/>
    </xf>
    <xf numFmtId="0" fontId="12" fillId="4" borderId="0" xfId="0" applyFont="1" applyFill="1"/>
    <xf numFmtId="0" fontId="24" fillId="4" borderId="50" xfId="0" applyFont="1" applyFill="1" applyBorder="1" applyAlignment="1">
      <alignment horizontal="right"/>
    </xf>
    <xf numFmtId="0" fontId="24" fillId="4" borderId="0" xfId="0" applyFont="1" applyFill="1"/>
    <xf numFmtId="0" fontId="25" fillId="0" borderId="36" xfId="2" applyFont="1" applyBorder="1" applyAlignment="1">
      <alignment horizontal="center" vertical="center" wrapText="1"/>
    </xf>
    <xf numFmtId="2" fontId="23" fillId="5" borderId="41" xfId="0" applyNumberFormat="1" applyFont="1" applyFill="1" applyBorder="1" applyAlignment="1">
      <alignment horizontal="center" vertical="center"/>
    </xf>
    <xf numFmtId="0" fontId="50" fillId="0" borderId="1" xfId="0" applyFont="1" applyBorder="1"/>
    <xf numFmtId="0" fontId="49" fillId="0" borderId="50" xfId="0" applyFont="1" applyBorder="1"/>
    <xf numFmtId="0" fontId="50" fillId="0" borderId="46" xfId="0" applyFont="1" applyBorder="1" applyAlignment="1">
      <alignment wrapText="1"/>
    </xf>
    <xf numFmtId="0" fontId="50" fillId="0" borderId="32" xfId="0" applyFont="1" applyBorder="1"/>
    <xf numFmtId="0" fontId="50" fillId="0" borderId="2" xfId="0" applyFont="1" applyBorder="1"/>
    <xf numFmtId="0" fontId="49" fillId="4" borderId="50" xfId="0" applyFont="1" applyFill="1" applyBorder="1"/>
    <xf numFmtId="0" fontId="49" fillId="0" borderId="0" xfId="0" applyFont="1"/>
    <xf numFmtId="14" fontId="50" fillId="0" borderId="32" xfId="0" applyNumberFormat="1" applyFont="1" applyBorder="1" applyAlignment="1">
      <alignment horizontal="left" vertical="top"/>
    </xf>
    <xf numFmtId="2" fontId="50" fillId="0" borderId="32" xfId="0" applyNumberFormat="1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50" fillId="5" borderId="32" xfId="0" applyNumberFormat="1" applyFont="1" applyFill="1" applyBorder="1" applyAlignment="1">
      <alignment horizontal="center" vertical="center"/>
    </xf>
    <xf numFmtId="0" fontId="4" fillId="0" borderId="45" xfId="3" applyFont="1"/>
    <xf numFmtId="0" fontId="23" fillId="4" borderId="47" xfId="3" applyFont="1" applyFill="1" applyBorder="1"/>
    <xf numFmtId="2" fontId="23" fillId="5" borderId="32" xfId="3" applyNumberFormat="1" applyFont="1" applyFill="1" applyBorder="1" applyAlignment="1">
      <alignment horizontal="center" vertical="center"/>
    </xf>
    <xf numFmtId="0" fontId="64" fillId="0" borderId="32" xfId="3" applyFont="1" applyBorder="1" applyAlignment="1">
      <alignment horizontal="center" vertical="center"/>
    </xf>
    <xf numFmtId="0" fontId="55" fillId="0" borderId="45" xfId="3" applyFont="1"/>
    <xf numFmtId="0" fontId="24" fillId="4" borderId="32" xfId="3" applyFont="1" applyFill="1" applyBorder="1"/>
    <xf numFmtId="2" fontId="24" fillId="5" borderId="32" xfId="3" applyNumberFormat="1" applyFont="1" applyFill="1" applyBorder="1" applyAlignment="1">
      <alignment horizontal="center" vertical="center"/>
    </xf>
    <xf numFmtId="0" fontId="67" fillId="0" borderId="32" xfId="3" applyFont="1" applyBorder="1" applyAlignment="1">
      <alignment horizontal="center" vertical="center"/>
    </xf>
    <xf numFmtId="1" fontId="4" fillId="0" borderId="45" xfId="3" applyNumberFormat="1" applyFont="1"/>
    <xf numFmtId="0" fontId="23" fillId="6" borderId="1" xfId="2" applyFont="1" applyFill="1" applyBorder="1"/>
    <xf numFmtId="0" fontId="41" fillId="6" borderId="50" xfId="2" applyFont="1" applyFill="1" applyBorder="1"/>
    <xf numFmtId="0" fontId="23" fillId="6" borderId="46" xfId="2" applyFont="1" applyFill="1" applyBorder="1"/>
    <xf numFmtId="0" fontId="23" fillId="6" borderId="32" xfId="2" applyFont="1" applyFill="1" applyBorder="1"/>
    <xf numFmtId="0" fontId="23" fillId="6" borderId="32" xfId="2" applyFont="1" applyFill="1" applyBorder="1" applyAlignment="1">
      <alignment horizontal="center" vertical="center"/>
    </xf>
    <xf numFmtId="0" fontId="11" fillId="6" borderId="50" xfId="2" applyFill="1" applyBorder="1"/>
    <xf numFmtId="14" fontId="23" fillId="6" borderId="46" xfId="2" applyNumberFormat="1" applyFont="1" applyFill="1" applyBorder="1" applyAlignment="1">
      <alignment horizontal="left" vertical="top"/>
    </xf>
    <xf numFmtId="2" fontId="23" fillId="6" borderId="32" xfId="2" applyNumberFormat="1" applyFont="1" applyFill="1" applyBorder="1" applyAlignment="1">
      <alignment horizontal="center" vertical="center"/>
    </xf>
    <xf numFmtId="49" fontId="23" fillId="6" borderId="41" xfId="3" applyNumberFormat="1" applyFont="1" applyFill="1" applyBorder="1" applyAlignment="1">
      <alignment horizontal="center" vertical="center"/>
    </xf>
    <xf numFmtId="0" fontId="26" fillId="6" borderId="32" xfId="2" applyFont="1" applyFill="1" applyBorder="1" applyAlignment="1">
      <alignment horizontal="center" vertical="center"/>
    </xf>
    <xf numFmtId="0" fontId="11" fillId="6" borderId="45" xfId="2" applyFill="1"/>
    <xf numFmtId="0" fontId="41" fillId="0" borderId="45" xfId="2" applyFont="1"/>
    <xf numFmtId="49" fontId="65" fillId="0" borderId="41" xfId="3" applyNumberFormat="1" applyFont="1" applyBorder="1" applyAlignment="1">
      <alignment horizontal="center" vertical="center"/>
    </xf>
    <xf numFmtId="0" fontId="49" fillId="0" borderId="45" xfId="0" applyFont="1" applyBorder="1"/>
    <xf numFmtId="0" fontId="50" fillId="0" borderId="45" xfId="0" applyFont="1" applyBorder="1" applyAlignment="1">
      <alignment wrapText="1"/>
    </xf>
    <xf numFmtId="0" fontId="49" fillId="4" borderId="45" xfId="0" applyFont="1" applyFill="1" applyBorder="1"/>
    <xf numFmtId="14" fontId="50" fillId="0" borderId="45" xfId="0" applyNumberFormat="1" applyFont="1" applyBorder="1" applyAlignment="1">
      <alignment horizontal="left" vertical="top"/>
    </xf>
    <xf numFmtId="2" fontId="50" fillId="0" borderId="45" xfId="0" applyNumberFormat="1" applyFont="1" applyBorder="1" applyAlignment="1">
      <alignment horizontal="center" vertical="center"/>
    </xf>
    <xf numFmtId="0" fontId="50" fillId="0" borderId="45" xfId="0" applyFont="1" applyBorder="1" applyAlignment="1">
      <alignment horizontal="center" vertical="center"/>
    </xf>
    <xf numFmtId="2" fontId="50" fillId="5" borderId="45" xfId="0" applyNumberFormat="1" applyFont="1" applyFill="1" applyBorder="1" applyAlignment="1">
      <alignment horizontal="center" vertical="center"/>
    </xf>
    <xf numFmtId="0" fontId="25" fillId="0" borderId="41" xfId="4" applyFont="1" applyBorder="1" applyAlignment="1">
      <alignment horizontal="center" vertical="center" wrapText="1"/>
    </xf>
    <xf numFmtId="0" fontId="24" fillId="0" borderId="44" xfId="4" applyFont="1" applyBorder="1"/>
    <xf numFmtId="0" fontId="24" fillId="0" borderId="54" xfId="4" applyFont="1" applyBorder="1"/>
    <xf numFmtId="0" fontId="24" fillId="0" borderId="50" xfId="4" applyFont="1" applyBorder="1"/>
    <xf numFmtId="0" fontId="25" fillId="0" borderId="36" xfId="4" applyFont="1" applyBorder="1" applyAlignment="1">
      <alignment horizontal="center" vertical="center" wrapText="1"/>
    </xf>
    <xf numFmtId="0" fontId="24" fillId="0" borderId="17" xfId="4" applyFont="1" applyBorder="1"/>
    <xf numFmtId="0" fontId="24" fillId="0" borderId="49" xfId="4" applyFont="1" applyBorder="1"/>
    <xf numFmtId="0" fontId="25" fillId="0" borderId="38" xfId="4" applyFont="1" applyBorder="1" applyAlignment="1">
      <alignment horizontal="center" vertical="center"/>
    </xf>
    <xf numFmtId="0" fontId="48" fillId="0" borderId="50" xfId="2" applyFont="1" applyBorder="1"/>
    <xf numFmtId="0" fontId="3" fillId="0" borderId="32" xfId="2" applyFont="1" applyBorder="1"/>
    <xf numFmtId="0" fontId="3" fillId="0" borderId="50" xfId="2" applyFont="1" applyBorder="1"/>
    <xf numFmtId="0" fontId="3" fillId="0" borderId="62" xfId="2" applyFont="1" applyBorder="1"/>
    <xf numFmtId="0" fontId="3" fillId="6" borderId="50" xfId="2" applyFont="1" applyFill="1" applyBorder="1"/>
    <xf numFmtId="0" fontId="58" fillId="0" borderId="78" xfId="3" applyBorder="1" applyAlignment="1">
      <alignment horizontal="center"/>
    </xf>
    <xf numFmtId="0" fontId="3" fillId="0" borderId="50" xfId="3" applyFont="1" applyBorder="1"/>
    <xf numFmtId="0" fontId="23" fillId="0" borderId="93" xfId="2" applyFont="1" applyBorder="1"/>
    <xf numFmtId="0" fontId="23" fillId="0" borderId="92" xfId="2" applyFont="1" applyBorder="1"/>
    <xf numFmtId="0" fontId="23" fillId="0" borderId="32" xfId="0" applyFont="1" applyBorder="1" applyAlignment="1">
      <alignment vertical="center" wrapText="1"/>
    </xf>
    <xf numFmtId="0" fontId="48" fillId="0" borderId="45" xfId="2" applyFont="1"/>
    <xf numFmtId="49" fontId="23" fillId="0" borderId="17" xfId="2" applyNumberFormat="1" applyFont="1" applyBorder="1" applyAlignment="1">
      <alignment horizontal="center" vertical="center" wrapText="1"/>
    </xf>
    <xf numFmtId="0" fontId="3" fillId="0" borderId="45" xfId="2" applyFont="1"/>
    <xf numFmtId="0" fontId="55" fillId="0" borderId="45" xfId="2" applyFont="1"/>
    <xf numFmtId="0" fontId="23" fillId="0" borderId="45" xfId="2" applyFont="1" applyAlignment="1">
      <alignment horizontal="center" vertical="center"/>
    </xf>
    <xf numFmtId="14" fontId="23" fillId="0" borderId="45" xfId="2" applyNumberFormat="1" applyFont="1" applyAlignment="1">
      <alignment horizontal="left" vertical="top"/>
    </xf>
    <xf numFmtId="2" fontId="23" fillId="0" borderId="45" xfId="2" applyNumberFormat="1" applyFont="1" applyAlignment="1">
      <alignment horizontal="center" vertical="center"/>
    </xf>
    <xf numFmtId="0" fontId="26" fillId="0" borderId="45" xfId="2" applyFont="1" applyAlignment="1">
      <alignment horizontal="center" vertical="center"/>
    </xf>
    <xf numFmtId="0" fontId="8" fillId="0" borderId="50" xfId="4" applyFont="1" applyBorder="1"/>
    <xf numFmtId="2" fontId="23" fillId="0" borderId="1" xfId="4" applyNumberFormat="1" applyFont="1" applyBorder="1" applyAlignment="1">
      <alignment horizontal="center" vertical="center"/>
    </xf>
    <xf numFmtId="0" fontId="23" fillId="0" borderId="41" xfId="4" applyFont="1" applyBorder="1"/>
    <xf numFmtId="49" fontId="23" fillId="0" borderId="50" xfId="4" applyNumberFormat="1" applyFont="1" applyBorder="1" applyAlignment="1">
      <alignment horizontal="center" vertical="center"/>
    </xf>
    <xf numFmtId="0" fontId="24" fillId="0" borderId="54" xfId="4" applyFont="1" applyBorder="1" applyAlignment="1">
      <alignment horizontal="center"/>
    </xf>
    <xf numFmtId="0" fontId="23" fillId="0" borderId="32" xfId="4" applyFont="1" applyBorder="1" applyAlignment="1">
      <alignment horizontal="center" vertical="center" wrapText="1"/>
    </xf>
    <xf numFmtId="0" fontId="3" fillId="0" borderId="45" xfId="4" applyFont="1"/>
    <xf numFmtId="0" fontId="2" fillId="0" borderId="45" xfId="3" applyFont="1"/>
    <xf numFmtId="0" fontId="23" fillId="6" borderId="32" xfId="3" applyFont="1" applyFill="1" applyBorder="1"/>
    <xf numFmtId="0" fontId="58" fillId="9" borderId="45" xfId="3" applyFill="1"/>
    <xf numFmtId="0" fontId="4" fillId="9" borderId="45" xfId="3" applyFont="1" applyFill="1"/>
    <xf numFmtId="0" fontId="25" fillId="10" borderId="32" xfId="3" applyFont="1" applyFill="1" applyBorder="1"/>
    <xf numFmtId="0" fontId="23" fillId="10" borderId="32" xfId="3" applyFont="1" applyFill="1" applyBorder="1"/>
    <xf numFmtId="0" fontId="58" fillId="11" borderId="50" xfId="3" applyFill="1" applyBorder="1"/>
    <xf numFmtId="0" fontId="58" fillId="12" borderId="50" xfId="3" applyFill="1" applyBorder="1"/>
    <xf numFmtId="0" fontId="61" fillId="12" borderId="50" xfId="3" applyFont="1" applyFill="1" applyBorder="1"/>
    <xf numFmtId="0" fontId="23" fillId="12" borderId="32" xfId="0" applyFont="1" applyFill="1" applyBorder="1"/>
    <xf numFmtId="0" fontId="0" fillId="12" borderId="0" xfId="0" applyFill="1"/>
    <xf numFmtId="14" fontId="58" fillId="0" borderId="45" xfId="3" applyNumberFormat="1"/>
    <xf numFmtId="0" fontId="24" fillId="12" borderId="32" xfId="3" applyFont="1" applyFill="1" applyBorder="1"/>
    <xf numFmtId="0" fontId="23" fillId="12" borderId="32" xfId="3" applyFont="1" applyFill="1" applyBorder="1"/>
    <xf numFmtId="0" fontId="25" fillId="12" borderId="32" xfId="3" applyFont="1" applyFill="1" applyBorder="1"/>
    <xf numFmtId="0" fontId="58" fillId="12" borderId="45" xfId="3" applyFill="1"/>
    <xf numFmtId="0" fontId="23" fillId="13" borderId="1" xfId="2" applyFont="1" applyFill="1" applyBorder="1"/>
    <xf numFmtId="0" fontId="55" fillId="13" borderId="50" xfId="2" applyFont="1" applyFill="1" applyBorder="1"/>
    <xf numFmtId="0" fontId="23" fillId="13" borderId="46" xfId="2" applyFont="1" applyFill="1" applyBorder="1"/>
    <xf numFmtId="0" fontId="23" fillId="13" borderId="32" xfId="2" applyFont="1" applyFill="1" applyBorder="1"/>
    <xf numFmtId="0" fontId="23" fillId="13" borderId="32" xfId="2" applyFont="1" applyFill="1" applyBorder="1" applyAlignment="1">
      <alignment horizontal="center" vertical="center"/>
    </xf>
    <xf numFmtId="0" fontId="11" fillId="13" borderId="50" xfId="2" applyFill="1" applyBorder="1"/>
    <xf numFmtId="14" fontId="23" fillId="13" borderId="46" xfId="2" applyNumberFormat="1" applyFont="1" applyFill="1" applyBorder="1" applyAlignment="1">
      <alignment horizontal="left" vertical="top"/>
    </xf>
    <xf numFmtId="2" fontId="23" fillId="13" borderId="32" xfId="2" applyNumberFormat="1" applyFont="1" applyFill="1" applyBorder="1" applyAlignment="1">
      <alignment horizontal="center" vertical="center"/>
    </xf>
    <xf numFmtId="49" fontId="23" fillId="13" borderId="41" xfId="3" applyNumberFormat="1" applyFont="1" applyFill="1" applyBorder="1" applyAlignment="1">
      <alignment horizontal="center" vertical="center"/>
    </xf>
    <xf numFmtId="0" fontId="26" fillId="13" borderId="32" xfId="2" applyFont="1" applyFill="1" applyBorder="1" applyAlignment="1">
      <alignment horizontal="center" vertical="center"/>
    </xf>
    <xf numFmtId="0" fontId="11" fillId="13" borderId="45" xfId="2" applyFill="1"/>
    <xf numFmtId="164" fontId="23" fillId="0" borderId="45" xfId="2" applyNumberFormat="1" applyFont="1"/>
    <xf numFmtId="0" fontId="23" fillId="4" borderId="44" xfId="2" applyFont="1" applyFill="1" applyBorder="1" applyAlignment="1">
      <alignment horizontal="center" vertical="center"/>
    </xf>
    <xf numFmtId="2" fontId="23" fillId="5" borderId="44" xfId="2" applyNumberFormat="1" applyFont="1" applyFill="1" applyBorder="1" applyAlignment="1">
      <alignment horizontal="center" vertical="center"/>
    </xf>
    <xf numFmtId="0" fontId="1" fillId="0" borderId="45" xfId="3" applyFont="1"/>
    <xf numFmtId="0" fontId="25" fillId="0" borderId="36" xfId="0" applyFont="1" applyBorder="1" applyAlignment="1">
      <alignment horizontal="center" vertical="center" wrapText="1"/>
    </xf>
    <xf numFmtId="0" fontId="24" fillId="0" borderId="17" xfId="0" applyFont="1" applyBorder="1"/>
    <xf numFmtId="0" fontId="24" fillId="0" borderId="40" xfId="0" applyFont="1" applyBorder="1"/>
    <xf numFmtId="0" fontId="25" fillId="0" borderId="14" xfId="0" applyFont="1" applyBorder="1" applyAlignment="1">
      <alignment horizontal="center" vertical="center" wrapText="1"/>
    </xf>
    <xf numFmtId="0" fontId="24" fillId="0" borderId="22" xfId="0" applyFont="1" applyBorder="1"/>
    <xf numFmtId="0" fontId="24" fillId="0" borderId="29" xfId="0" applyFont="1" applyBorder="1"/>
    <xf numFmtId="0" fontId="25" fillId="0" borderId="1" xfId="0" applyFont="1" applyBorder="1" applyAlignment="1">
      <alignment horizontal="center" vertical="center" wrapText="1"/>
    </xf>
    <xf numFmtId="0" fontId="24" fillId="0" borderId="3" xfId="0" applyFont="1" applyBorder="1"/>
    <xf numFmtId="0" fontId="25" fillId="0" borderId="19" xfId="0" applyFont="1" applyBorder="1" applyAlignment="1">
      <alignment horizontal="center" vertical="center" wrapText="1"/>
    </xf>
    <xf numFmtId="0" fontId="24" fillId="0" borderId="27" xfId="0" applyFont="1" applyBorder="1"/>
    <xf numFmtId="0" fontId="25" fillId="0" borderId="38" xfId="0" applyFont="1" applyBorder="1" applyAlignment="1">
      <alignment horizontal="center" vertical="center" wrapText="1"/>
    </xf>
    <xf numFmtId="0" fontId="24" fillId="0" borderId="39" xfId="0" applyFont="1" applyBorder="1"/>
    <xf numFmtId="0" fontId="25" fillId="0" borderId="21" xfId="0" applyFont="1" applyBorder="1" applyAlignment="1">
      <alignment horizontal="center" vertical="center" wrapText="1"/>
    </xf>
    <xf numFmtId="0" fontId="24" fillId="0" borderId="30" xfId="0" applyFont="1" applyBorder="1"/>
    <xf numFmtId="0" fontId="25" fillId="0" borderId="10" xfId="0" applyFont="1" applyBorder="1" applyAlignment="1">
      <alignment horizontal="center" vertical="center"/>
    </xf>
    <xf numFmtId="0" fontId="24" fillId="0" borderId="10" xfId="0" applyFont="1" applyBorder="1"/>
    <xf numFmtId="0" fontId="24" fillId="0" borderId="11" xfId="0" applyFont="1" applyBorder="1"/>
    <xf numFmtId="0" fontId="25" fillId="0" borderId="38" xfId="0" applyFont="1" applyBorder="1" applyAlignment="1">
      <alignment horizontal="center" vertical="center"/>
    </xf>
    <xf numFmtId="0" fontId="24" fillId="0" borderId="36" xfId="0" applyFont="1" applyBorder="1"/>
    <xf numFmtId="0" fontId="25" fillId="0" borderId="8" xfId="0" applyFont="1" applyBorder="1" applyAlignment="1">
      <alignment horizontal="center" vertical="center" wrapText="1"/>
    </xf>
    <xf numFmtId="0" fontId="24" fillId="0" borderId="18" xfId="0" applyFont="1" applyBorder="1"/>
    <xf numFmtId="0" fontId="25" fillId="0" borderId="36" xfId="0" applyFont="1" applyBorder="1" applyAlignment="1">
      <alignment horizontal="center" vertical="center"/>
    </xf>
    <xf numFmtId="0" fontId="24" fillId="0" borderId="26" xfId="0" applyFont="1" applyBorder="1"/>
    <xf numFmtId="0" fontId="23" fillId="0" borderId="19" xfId="0" applyFont="1" applyBorder="1" applyAlignment="1">
      <alignment horizontal="center" wrapText="1"/>
    </xf>
    <xf numFmtId="0" fontId="24" fillId="0" borderId="37" xfId="0" applyFont="1" applyBorder="1"/>
    <xf numFmtId="0" fontId="23" fillId="0" borderId="19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2" xfId="0" applyFont="1" applyBorder="1"/>
    <xf numFmtId="0" fontId="25" fillId="4" borderId="8" xfId="0" applyFont="1" applyFill="1" applyBorder="1" applyAlignment="1">
      <alignment horizontal="center" vertical="center" wrapText="1"/>
    </xf>
    <xf numFmtId="0" fontId="24" fillId="4" borderId="18" xfId="0" applyFont="1" applyFill="1" applyBorder="1"/>
    <xf numFmtId="0" fontId="24" fillId="4" borderId="37" xfId="0" applyFont="1" applyFill="1" applyBorder="1"/>
    <xf numFmtId="0" fontId="25" fillId="0" borderId="9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4" fillId="0" borderId="7" xfId="0" applyFont="1" applyBorder="1"/>
    <xf numFmtId="0" fontId="25" fillId="5" borderId="8" xfId="0" applyFont="1" applyFill="1" applyBorder="1" applyAlignment="1">
      <alignment horizontal="center" vertical="center" wrapText="1"/>
    </xf>
    <xf numFmtId="0" fontId="24" fillId="5" borderId="18" xfId="0" applyFont="1" applyFill="1" applyBorder="1"/>
    <xf numFmtId="0" fontId="24" fillId="5" borderId="27" xfId="0" applyFont="1" applyFill="1" applyBorder="1"/>
    <xf numFmtId="0" fontId="25" fillId="0" borderId="19" xfId="0" applyFont="1" applyBorder="1" applyAlignment="1">
      <alignment horizontal="center" wrapText="1"/>
    </xf>
    <xf numFmtId="0" fontId="40" fillId="0" borderId="37" xfId="0" applyFont="1" applyBorder="1"/>
    <xf numFmtId="0" fontId="38" fillId="0" borderId="19" xfId="0" applyFont="1" applyBorder="1" applyAlignment="1">
      <alignment horizontal="center" wrapText="1"/>
    </xf>
    <xf numFmtId="0" fontId="38" fillId="0" borderId="37" xfId="0" applyFont="1" applyBorder="1"/>
    <xf numFmtId="0" fontId="38" fillId="0" borderId="19" xfId="0" applyFont="1" applyBorder="1" applyAlignment="1">
      <alignment horizontal="center"/>
    </xf>
    <xf numFmtId="0" fontId="25" fillId="0" borderId="8" xfId="0" applyFont="1" applyBorder="1" applyAlignment="1">
      <alignment horizontal="center" vertical="center"/>
    </xf>
    <xf numFmtId="0" fontId="24" fillId="0" borderId="42" xfId="0" applyFont="1" applyBorder="1"/>
    <xf numFmtId="0" fontId="25" fillId="0" borderId="4" xfId="0" applyFont="1" applyBorder="1" applyAlignment="1">
      <alignment horizontal="center" vertical="center"/>
    </xf>
    <xf numFmtId="0" fontId="24" fillId="0" borderId="15" xfId="0" applyFont="1" applyBorder="1"/>
    <xf numFmtId="0" fontId="24" fillId="0" borderId="23" xfId="0" applyFont="1" applyBorder="1"/>
    <xf numFmtId="0" fontId="25" fillId="0" borderId="5" xfId="0" applyFont="1" applyBorder="1" applyAlignment="1">
      <alignment horizontal="center" vertical="center" wrapText="1"/>
    </xf>
    <xf numFmtId="0" fontId="24" fillId="0" borderId="16" xfId="0" applyFont="1" applyBorder="1"/>
    <xf numFmtId="0" fontId="24" fillId="0" borderId="24" xfId="0" applyFont="1" applyBorder="1"/>
    <xf numFmtId="0" fontId="25" fillId="0" borderId="6" xfId="0" applyFont="1" applyBorder="1" applyAlignment="1">
      <alignment horizontal="center" vertical="center" wrapText="1"/>
    </xf>
    <xf numFmtId="0" fontId="0" fillId="0" borderId="0" xfId="0"/>
    <xf numFmtId="0" fontId="24" fillId="0" borderId="25" xfId="0" applyFont="1" applyBorder="1"/>
    <xf numFmtId="0" fontId="25" fillId="0" borderId="7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4" fillId="4" borderId="27" xfId="0" applyFont="1" applyFill="1" applyBorder="1"/>
    <xf numFmtId="0" fontId="25" fillId="0" borderId="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top" wrapText="1"/>
    </xf>
    <xf numFmtId="0" fontId="25" fillId="0" borderId="20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4" fillId="0" borderId="50" xfId="0" applyFont="1" applyBorder="1"/>
    <xf numFmtId="0" fontId="25" fillId="0" borderId="60" xfId="0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88" xfId="0" applyFont="1" applyBorder="1" applyAlignment="1">
      <alignment horizontal="center" vertical="center"/>
    </xf>
    <xf numFmtId="0" fontId="25" fillId="0" borderId="89" xfId="0" applyFont="1" applyBorder="1" applyAlignment="1">
      <alignment horizontal="center" vertical="center"/>
    </xf>
    <xf numFmtId="0" fontId="25" fillId="0" borderId="9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24" fillId="0" borderId="49" xfId="0" applyFont="1" applyBorder="1"/>
    <xf numFmtId="0" fontId="23" fillId="0" borderId="38" xfId="3" applyFont="1" applyBorder="1" applyAlignment="1">
      <alignment horizontal="center" wrapText="1"/>
    </xf>
    <xf numFmtId="0" fontId="24" fillId="0" borderId="43" xfId="3" applyFont="1" applyBorder="1"/>
    <xf numFmtId="0" fontId="25" fillId="0" borderId="84" xfId="0" applyFont="1" applyBorder="1" applyAlignment="1">
      <alignment horizontal="center" vertical="center" wrapText="1"/>
    </xf>
    <xf numFmtId="0" fontId="24" fillId="0" borderId="85" xfId="0" applyFont="1" applyBorder="1"/>
    <xf numFmtId="0" fontId="24" fillId="0" borderId="86" xfId="0" applyFont="1" applyBorder="1"/>
    <xf numFmtId="0" fontId="25" fillId="0" borderId="81" xfId="0" applyFont="1" applyBorder="1" applyAlignment="1">
      <alignment horizontal="center" vertical="center" wrapText="1"/>
    </xf>
    <xf numFmtId="0" fontId="24" fillId="0" borderId="82" xfId="0" applyFont="1" applyBorder="1"/>
    <xf numFmtId="0" fontId="24" fillId="0" borderId="83" xfId="0" applyFont="1" applyBorder="1"/>
    <xf numFmtId="0" fontId="25" fillId="0" borderId="10" xfId="3" applyFont="1" applyBorder="1" applyAlignment="1">
      <alignment horizontal="center" vertical="center"/>
    </xf>
    <xf numFmtId="0" fontId="24" fillId="0" borderId="10" xfId="3" applyFont="1" applyBorder="1"/>
    <xf numFmtId="0" fontId="24" fillId="0" borderId="11" xfId="3" applyFont="1" applyBorder="1"/>
    <xf numFmtId="0" fontId="25" fillId="0" borderId="41" xfId="3" applyFont="1" applyBorder="1" applyAlignment="1">
      <alignment horizontal="center" vertical="center" wrapText="1"/>
    </xf>
    <xf numFmtId="0" fontId="24" fillId="0" borderId="27" xfId="3" applyFont="1" applyBorder="1"/>
    <xf numFmtId="0" fontId="25" fillId="0" borderId="38" xfId="3" applyFont="1" applyBorder="1" applyAlignment="1">
      <alignment horizontal="center" vertical="center"/>
    </xf>
    <xf numFmtId="0" fontId="24" fillId="0" borderId="36" xfId="3" applyFont="1" applyBorder="1"/>
    <xf numFmtId="0" fontId="25" fillId="0" borderId="8" xfId="3" applyFont="1" applyBorder="1" applyAlignment="1">
      <alignment horizontal="center" vertical="center" wrapText="1"/>
    </xf>
    <xf numFmtId="0" fontId="24" fillId="0" borderId="44" xfId="3" applyFont="1" applyBorder="1"/>
    <xf numFmtId="0" fontId="25" fillId="0" borderId="36" xfId="3" applyFont="1" applyBorder="1" applyAlignment="1">
      <alignment horizontal="center" vertical="center"/>
    </xf>
    <xf numFmtId="0" fontId="24" fillId="0" borderId="26" xfId="3" applyFont="1" applyBorder="1"/>
    <xf numFmtId="0" fontId="25" fillId="0" borderId="41" xfId="3" applyFont="1" applyBorder="1" applyAlignment="1">
      <alignment horizontal="center" vertical="center"/>
    </xf>
    <xf numFmtId="0" fontId="25" fillId="0" borderId="27" xfId="3" applyFont="1" applyBorder="1" applyAlignment="1">
      <alignment horizontal="center" vertical="center" wrapText="1"/>
    </xf>
    <xf numFmtId="0" fontId="25" fillId="0" borderId="14" xfId="3" applyFont="1" applyBorder="1" applyAlignment="1">
      <alignment horizontal="center" vertical="center" wrapText="1"/>
    </xf>
    <xf numFmtId="0" fontId="24" fillId="0" borderId="22" xfId="3" applyFont="1" applyBorder="1"/>
    <xf numFmtId="0" fontId="24" fillId="0" borderId="29" xfId="3" applyFont="1" applyBorder="1"/>
    <xf numFmtId="0" fontId="25" fillId="0" borderId="38" xfId="3" applyFont="1" applyBorder="1" applyAlignment="1">
      <alignment horizontal="center" vertical="center" wrapText="1"/>
    </xf>
    <xf numFmtId="0" fontId="24" fillId="0" borderId="39" xfId="3" applyFont="1" applyBorder="1"/>
    <xf numFmtId="0" fontId="25" fillId="0" borderId="21" xfId="3" applyFont="1" applyBorder="1" applyAlignment="1">
      <alignment horizontal="center" vertical="center" wrapText="1"/>
    </xf>
    <xf numFmtId="0" fontId="24" fillId="0" borderId="30" xfId="3" applyFont="1" applyBorder="1"/>
    <xf numFmtId="0" fontId="25" fillId="0" borderId="13" xfId="3" applyFont="1" applyBorder="1" applyAlignment="1">
      <alignment horizontal="center" vertical="center" wrapText="1"/>
    </xf>
    <xf numFmtId="0" fontId="25" fillId="0" borderId="35" xfId="3" applyFont="1" applyBorder="1" applyAlignment="1">
      <alignment horizontal="center" vertical="center" wrapText="1"/>
    </xf>
    <xf numFmtId="0" fontId="24" fillId="0" borderId="7" xfId="3" applyFont="1" applyBorder="1"/>
    <xf numFmtId="0" fontId="25" fillId="0" borderId="9" xfId="3" applyFont="1" applyBorder="1" applyAlignment="1">
      <alignment horizontal="center" vertical="center"/>
    </xf>
    <xf numFmtId="0" fontId="23" fillId="0" borderId="41" xfId="3" applyFont="1" applyBorder="1" applyAlignment="1">
      <alignment horizontal="center" wrapText="1"/>
    </xf>
    <xf numFmtId="0" fontId="24" fillId="0" borderId="47" xfId="3" applyFont="1" applyBorder="1"/>
    <xf numFmtId="0" fontId="23" fillId="0" borderId="41" xfId="3" applyFont="1" applyBorder="1" applyAlignment="1">
      <alignment horizontal="center"/>
    </xf>
    <xf numFmtId="0" fontId="23" fillId="0" borderId="38" xfId="3" applyFont="1" applyBorder="1" applyAlignment="1">
      <alignment horizontal="center"/>
    </xf>
    <xf numFmtId="0" fontId="25" fillId="0" borderId="1" xfId="3" applyFont="1" applyBorder="1" applyAlignment="1">
      <alignment horizontal="center" vertical="center" wrapText="1"/>
    </xf>
    <xf numFmtId="0" fontId="24" fillId="0" borderId="46" xfId="3" applyFont="1" applyBorder="1"/>
    <xf numFmtId="0" fontId="58" fillId="0" borderId="61" xfId="3" applyBorder="1" applyAlignment="1">
      <alignment horizontal="center"/>
    </xf>
    <xf numFmtId="0" fontId="58" fillId="0" borderId="62" xfId="3" applyBorder="1" applyAlignment="1">
      <alignment horizontal="center"/>
    </xf>
    <xf numFmtId="0" fontId="58" fillId="0" borderId="63" xfId="3" applyBorder="1" applyAlignment="1">
      <alignment horizontal="center"/>
    </xf>
    <xf numFmtId="0" fontId="58" fillId="0" borderId="50" xfId="3" applyBorder="1" applyAlignment="1">
      <alignment horizontal="center" wrapText="1"/>
    </xf>
    <xf numFmtId="0" fontId="58" fillId="0" borderId="50" xfId="3" applyBorder="1" applyAlignment="1">
      <alignment horizontal="center"/>
    </xf>
    <xf numFmtId="0" fontId="58" fillId="0" borderId="60" xfId="3" applyBorder="1" applyAlignment="1">
      <alignment horizontal="center" wrapText="1"/>
    </xf>
    <xf numFmtId="0" fontId="58" fillId="0" borderId="53" xfId="3" applyBorder="1" applyAlignment="1">
      <alignment horizontal="center" wrapText="1"/>
    </xf>
    <xf numFmtId="0" fontId="58" fillId="0" borderId="60" xfId="3" applyBorder="1" applyAlignment="1">
      <alignment horizontal="center"/>
    </xf>
    <xf numFmtId="0" fontId="58" fillId="0" borderId="53" xfId="3" applyBorder="1" applyAlignment="1">
      <alignment horizontal="center"/>
    </xf>
    <xf numFmtId="0" fontId="41" fillId="0" borderId="64" xfId="3" applyFont="1" applyBorder="1" applyAlignment="1">
      <alignment horizontal="center" vertical="center" wrapText="1"/>
    </xf>
    <xf numFmtId="0" fontId="41" fillId="0" borderId="52" xfId="3" applyFont="1" applyBorder="1" applyAlignment="1">
      <alignment horizontal="center" vertical="center"/>
    </xf>
    <xf numFmtId="0" fontId="41" fillId="0" borderId="55" xfId="3" applyFont="1" applyBorder="1" applyAlignment="1">
      <alignment horizontal="center" vertical="center"/>
    </xf>
    <xf numFmtId="0" fontId="41" fillId="0" borderId="56" xfId="3" applyFont="1" applyBorder="1" applyAlignment="1">
      <alignment horizontal="center" vertical="center"/>
    </xf>
    <xf numFmtId="0" fontId="41" fillId="0" borderId="68" xfId="3" applyFont="1" applyBorder="1" applyAlignment="1">
      <alignment horizontal="center" vertical="center" wrapText="1"/>
    </xf>
    <xf numFmtId="0" fontId="41" fillId="0" borderId="71" xfId="3" applyFont="1" applyBorder="1" applyAlignment="1">
      <alignment horizontal="center" vertical="center" wrapText="1"/>
    </xf>
    <xf numFmtId="0" fontId="41" fillId="0" borderId="78" xfId="3" applyFont="1" applyBorder="1" applyAlignment="1">
      <alignment horizontal="center" vertical="center" wrapText="1"/>
    </xf>
    <xf numFmtId="0" fontId="41" fillId="0" borderId="59" xfId="3" applyFont="1" applyBorder="1" applyAlignment="1">
      <alignment horizontal="center" vertical="center" wrapText="1"/>
    </xf>
    <xf numFmtId="0" fontId="41" fillId="0" borderId="72" xfId="3" applyFont="1" applyBorder="1" applyAlignment="1">
      <alignment horizontal="center" vertical="center"/>
    </xf>
    <xf numFmtId="0" fontId="41" fillId="0" borderId="79" xfId="3" applyFont="1" applyBorder="1" applyAlignment="1">
      <alignment horizontal="center" vertical="center"/>
    </xf>
    <xf numFmtId="0" fontId="41" fillId="0" borderId="63" xfId="3" applyFont="1" applyBorder="1" applyAlignment="1">
      <alignment horizontal="center" vertical="center"/>
    </xf>
    <xf numFmtId="0" fontId="41" fillId="0" borderId="77" xfId="3" applyFont="1" applyBorder="1" applyAlignment="1">
      <alignment horizontal="center" vertical="center"/>
    </xf>
    <xf numFmtId="0" fontId="41" fillId="0" borderId="70" xfId="3" applyFont="1" applyBorder="1" applyAlignment="1">
      <alignment horizontal="center" vertical="center"/>
    </xf>
    <xf numFmtId="0" fontId="41" fillId="0" borderId="68" xfId="3" applyFont="1" applyBorder="1" applyAlignment="1">
      <alignment horizontal="center" vertical="center"/>
    </xf>
    <xf numFmtId="0" fontId="41" fillId="0" borderId="50" xfId="3" applyFont="1" applyBorder="1" applyAlignment="1">
      <alignment horizontal="center" vertical="center" wrapText="1"/>
    </xf>
    <xf numFmtId="0" fontId="41" fillId="0" borderId="61" xfId="3" applyFont="1" applyBorder="1" applyAlignment="1">
      <alignment horizontal="center" vertical="center" wrapText="1"/>
    </xf>
    <xf numFmtId="0" fontId="41" fillId="0" borderId="63" xfId="3" applyFont="1" applyBorder="1" applyAlignment="1">
      <alignment horizontal="center" vertical="center" wrapText="1"/>
    </xf>
    <xf numFmtId="0" fontId="41" fillId="0" borderId="73" xfId="3" applyFont="1" applyBorder="1" applyAlignment="1">
      <alignment horizontal="center" vertical="center" wrapText="1"/>
    </xf>
    <xf numFmtId="0" fontId="41" fillId="0" borderId="74" xfId="3" applyFont="1" applyBorder="1" applyAlignment="1">
      <alignment horizontal="center" vertical="center" wrapText="1"/>
    </xf>
    <xf numFmtId="0" fontId="41" fillId="4" borderId="56" xfId="3" applyFont="1" applyFill="1" applyBorder="1" applyAlignment="1">
      <alignment horizontal="center" vertical="center" wrapText="1"/>
    </xf>
    <xf numFmtId="0" fontId="41" fillId="4" borderId="50" xfId="3" applyFont="1" applyFill="1" applyBorder="1" applyAlignment="1">
      <alignment horizontal="center" vertical="center" wrapText="1"/>
    </xf>
    <xf numFmtId="0" fontId="41" fillId="4" borderId="60" xfId="3" applyFont="1" applyFill="1" applyBorder="1" applyAlignment="1">
      <alignment horizontal="center" vertical="center" wrapText="1"/>
    </xf>
    <xf numFmtId="0" fontId="41" fillId="0" borderId="56" xfId="3" applyFont="1" applyBorder="1" applyAlignment="1">
      <alignment horizontal="center" vertical="center" wrapText="1"/>
    </xf>
    <xf numFmtId="0" fontId="41" fillId="0" borderId="57" xfId="3" applyFont="1" applyBorder="1" applyAlignment="1">
      <alignment horizontal="center" vertical="center" wrapText="1"/>
    </xf>
    <xf numFmtId="0" fontId="41" fillId="0" borderId="65" xfId="3" applyFont="1" applyBorder="1" applyAlignment="1">
      <alignment horizontal="center" vertical="center" wrapText="1"/>
    </xf>
    <xf numFmtId="0" fontId="41" fillId="0" borderId="66" xfId="3" applyFont="1" applyBorder="1" applyAlignment="1">
      <alignment horizontal="center" vertical="center" wrapText="1"/>
    </xf>
    <xf numFmtId="0" fontId="41" fillId="0" borderId="67" xfId="3" applyFont="1" applyBorder="1" applyAlignment="1">
      <alignment horizontal="center" vertical="center" wrapText="1"/>
    </xf>
    <xf numFmtId="0" fontId="41" fillId="0" borderId="50" xfId="3" applyFont="1" applyBorder="1" applyAlignment="1">
      <alignment horizontal="center" vertical="center"/>
    </xf>
    <xf numFmtId="0" fontId="41" fillId="0" borderId="73" xfId="3" applyFont="1" applyBorder="1" applyAlignment="1">
      <alignment horizontal="center" vertical="center"/>
    </xf>
    <xf numFmtId="1" fontId="61" fillId="0" borderId="60" xfId="3" applyNumberFormat="1" applyFont="1" applyBorder="1" applyAlignment="1">
      <alignment horizontal="center" vertical="center"/>
    </xf>
    <xf numFmtId="1" fontId="61" fillId="0" borderId="53" xfId="3" applyNumberFormat="1" applyFont="1" applyBorder="1" applyAlignment="1">
      <alignment horizontal="center" vertical="center"/>
    </xf>
    <xf numFmtId="0" fontId="41" fillId="0" borderId="69" xfId="3" applyFont="1" applyBorder="1" applyAlignment="1">
      <alignment horizontal="center" vertical="center" wrapText="1"/>
    </xf>
    <xf numFmtId="0" fontId="41" fillId="0" borderId="75" xfId="3" applyFont="1" applyBorder="1" applyAlignment="1">
      <alignment horizontal="center" vertical="center" wrapText="1"/>
    </xf>
    <xf numFmtId="0" fontId="41" fillId="0" borderId="60" xfId="3" applyFont="1" applyBorder="1" applyAlignment="1">
      <alignment horizontal="center" vertical="center" wrapText="1"/>
    </xf>
    <xf numFmtId="0" fontId="41" fillId="0" borderId="76" xfId="3" applyFont="1" applyBorder="1" applyAlignment="1">
      <alignment horizontal="center" vertical="center" wrapText="1"/>
    </xf>
    <xf numFmtId="0" fontId="25" fillId="4" borderId="41" xfId="3" applyFont="1" applyFill="1" applyBorder="1" applyAlignment="1">
      <alignment horizontal="center" vertical="center" wrapText="1"/>
    </xf>
    <xf numFmtId="0" fontId="24" fillId="4" borderId="44" xfId="3" applyFont="1" applyFill="1" applyBorder="1"/>
    <xf numFmtId="0" fontId="24" fillId="4" borderId="47" xfId="3" applyFont="1" applyFill="1" applyBorder="1"/>
    <xf numFmtId="0" fontId="25" fillId="0" borderId="9" xfId="3" applyFont="1" applyBorder="1" applyAlignment="1">
      <alignment horizontal="center" vertical="center" wrapText="1"/>
    </xf>
    <xf numFmtId="0" fontId="25" fillId="5" borderId="8" xfId="3" applyFont="1" applyFill="1" applyBorder="1" applyAlignment="1">
      <alignment horizontal="center" vertical="center" wrapText="1"/>
    </xf>
    <xf numFmtId="0" fontId="24" fillId="5" borderId="44" xfId="3" applyFont="1" applyFill="1" applyBorder="1"/>
    <xf numFmtId="0" fontId="24" fillId="5" borderId="27" xfId="3" applyFont="1" applyFill="1" applyBorder="1"/>
    <xf numFmtId="0" fontId="28" fillId="0" borderId="19" xfId="0" applyFont="1" applyBorder="1" applyAlignment="1">
      <alignment horizontal="center" wrapText="1"/>
    </xf>
    <xf numFmtId="0" fontId="31" fillId="0" borderId="18" xfId="0" applyFont="1" applyBorder="1" applyAlignment="1">
      <alignment horizontal="center"/>
    </xf>
    <xf numFmtId="0" fontId="17" fillId="0" borderId="0" xfId="0" applyFont="1"/>
    <xf numFmtId="0" fontId="32" fillId="0" borderId="0" xfId="0" applyFont="1"/>
    <xf numFmtId="0" fontId="34" fillId="0" borderId="0" xfId="0" applyFont="1"/>
    <xf numFmtId="0" fontId="28" fillId="0" borderId="19" xfId="0" applyFont="1" applyBorder="1" applyAlignment="1">
      <alignment horizontal="center"/>
    </xf>
    <xf numFmtId="0" fontId="28" fillId="0" borderId="38" xfId="0" applyFont="1" applyBorder="1" applyAlignment="1">
      <alignment horizontal="left"/>
    </xf>
    <xf numFmtId="0" fontId="24" fillId="0" borderId="42" xfId="0" applyFont="1" applyBorder="1" applyAlignment="1">
      <alignment horizontal="left"/>
    </xf>
    <xf numFmtId="0" fontId="24" fillId="0" borderId="36" xfId="0" applyFont="1" applyBorder="1" applyAlignment="1">
      <alignment horizontal="left"/>
    </xf>
    <xf numFmtId="0" fontId="31" fillId="4" borderId="19" xfId="0" applyFont="1" applyFill="1" applyBorder="1" applyAlignment="1">
      <alignment horizontal="center" vertical="top" wrapText="1"/>
    </xf>
    <xf numFmtId="0" fontId="28" fillId="0" borderId="18" xfId="0" applyFont="1" applyBorder="1" applyAlignment="1">
      <alignment horizontal="center"/>
    </xf>
    <xf numFmtId="0" fontId="31" fillId="0" borderId="19" xfId="0" applyFont="1" applyBorder="1" applyAlignment="1">
      <alignment horizontal="center" vertical="top" wrapText="1"/>
    </xf>
    <xf numFmtId="0" fontId="31" fillId="0" borderId="2" xfId="0" applyFont="1" applyBorder="1" applyAlignment="1">
      <alignment horizontal="center" vertical="top"/>
    </xf>
    <xf numFmtId="0" fontId="31" fillId="0" borderId="2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1" fillId="0" borderId="18" xfId="0" applyFont="1" applyBorder="1" applyAlignment="1">
      <alignment horizontal="center" vertical="top"/>
    </xf>
    <xf numFmtId="0" fontId="31" fillId="0" borderId="18" xfId="0" applyFont="1" applyBorder="1" applyAlignment="1">
      <alignment horizontal="center" wrapText="1"/>
    </xf>
    <xf numFmtId="2" fontId="31" fillId="8" borderId="19" xfId="0" applyNumberFormat="1" applyFont="1" applyFill="1" applyBorder="1" applyAlignment="1">
      <alignment horizontal="center" wrapText="1"/>
    </xf>
    <xf numFmtId="0" fontId="24" fillId="5" borderId="37" xfId="0" applyFont="1" applyFill="1" applyBorder="1"/>
    <xf numFmtId="0" fontId="23" fillId="0" borderId="41" xfId="2" applyFont="1" applyBorder="1" applyAlignment="1">
      <alignment horizontal="center" wrapText="1"/>
    </xf>
    <xf numFmtId="0" fontId="24" fillId="0" borderId="47" xfId="2" applyFont="1" applyBorder="1"/>
    <xf numFmtId="0" fontId="23" fillId="0" borderId="41" xfId="2" applyFont="1" applyBorder="1" applyAlignment="1">
      <alignment horizontal="center"/>
    </xf>
    <xf numFmtId="0" fontId="25" fillId="0" borderId="8" xfId="2" applyFont="1" applyBorder="1" applyAlignment="1">
      <alignment horizontal="center" vertical="center" wrapText="1"/>
    </xf>
    <xf numFmtId="0" fontId="24" fillId="0" borderId="44" xfId="2" applyFont="1" applyBorder="1"/>
    <xf numFmtId="0" fontId="25" fillId="0" borderId="9" xfId="2" applyFont="1" applyBorder="1" applyAlignment="1">
      <alignment horizontal="center" vertical="center" wrapText="1"/>
    </xf>
    <xf numFmtId="0" fontId="24" fillId="0" borderId="10" xfId="2" applyFont="1" applyBorder="1"/>
    <xf numFmtId="0" fontId="24" fillId="0" borderId="11" xfId="2" applyFont="1" applyBorder="1"/>
    <xf numFmtId="0" fontId="25" fillId="0" borderId="1" xfId="2" applyFont="1" applyBorder="1" applyAlignment="1">
      <alignment horizontal="center" vertical="center" wrapText="1"/>
    </xf>
    <xf numFmtId="0" fontId="24" fillId="0" borderId="46" xfId="2" applyFont="1" applyBorder="1"/>
    <xf numFmtId="0" fontId="25" fillId="0" borderId="41" xfId="2" applyFont="1" applyBorder="1" applyAlignment="1">
      <alignment horizontal="center" vertical="center" wrapText="1"/>
    </xf>
    <xf numFmtId="0" fontId="24" fillId="0" borderId="27" xfId="2" applyFont="1" applyBorder="1"/>
    <xf numFmtId="0" fontId="25" fillId="0" borderId="38" xfId="2" applyFont="1" applyBorder="1" applyAlignment="1">
      <alignment horizontal="center" vertical="center" wrapText="1"/>
    </xf>
    <xf numFmtId="0" fontId="24" fillId="0" borderId="39" xfId="2" applyFont="1" applyBorder="1"/>
    <xf numFmtId="0" fontId="25" fillId="0" borderId="14" xfId="2" applyFont="1" applyBorder="1" applyAlignment="1">
      <alignment horizontal="center" vertical="center" wrapText="1"/>
    </xf>
    <xf numFmtId="0" fontId="24" fillId="0" borderId="22" xfId="2" applyFont="1" applyBorder="1"/>
    <xf numFmtId="0" fontId="24" fillId="0" borderId="29" xfId="2" applyFont="1" applyBorder="1"/>
    <xf numFmtId="0" fontId="25" fillId="0" borderId="21" xfId="2" applyFont="1" applyBorder="1" applyAlignment="1">
      <alignment horizontal="center" vertical="center" wrapText="1"/>
    </xf>
    <xf numFmtId="0" fontId="24" fillId="0" borderId="30" xfId="2" applyFont="1" applyBorder="1"/>
    <xf numFmtId="0" fontId="25" fillId="0" borderId="13" xfId="2" applyFont="1" applyBorder="1" applyAlignment="1">
      <alignment horizontal="center" vertical="center" wrapText="1"/>
    </xf>
    <xf numFmtId="0" fontId="25" fillId="0" borderId="35" xfId="2" applyFont="1" applyBorder="1" applyAlignment="1">
      <alignment horizontal="center" vertical="center" wrapText="1"/>
    </xf>
    <xf numFmtId="0" fontId="24" fillId="0" borderId="7" xfId="2" applyFont="1" applyBorder="1"/>
    <xf numFmtId="0" fontId="25" fillId="0" borderId="10" xfId="2" applyFont="1" applyBorder="1" applyAlignment="1">
      <alignment horizontal="center" vertical="center"/>
    </xf>
    <xf numFmtId="0" fontId="25" fillId="0" borderId="36" xfId="2" applyFont="1" applyBorder="1" applyAlignment="1">
      <alignment horizontal="center" vertical="center" wrapText="1"/>
    </xf>
    <xf numFmtId="0" fontId="24" fillId="0" borderId="17" xfId="2" applyFont="1" applyBorder="1"/>
    <xf numFmtId="0" fontId="24" fillId="0" borderId="49" xfId="2" applyFont="1" applyBorder="1"/>
    <xf numFmtId="0" fontId="25" fillId="0" borderId="36" xfId="2" applyFont="1" applyBorder="1" applyAlignment="1">
      <alignment horizontal="center" vertical="center"/>
    </xf>
    <xf numFmtId="0" fontId="24" fillId="0" borderId="26" xfId="2" applyFont="1" applyBorder="1"/>
    <xf numFmtId="0" fontId="25" fillId="0" borderId="38" xfId="2" applyFont="1" applyBorder="1" applyAlignment="1">
      <alignment horizontal="center" vertical="center"/>
    </xf>
    <xf numFmtId="0" fontId="24" fillId="0" borderId="36" xfId="2" applyFont="1" applyBorder="1"/>
    <xf numFmtId="0" fontId="25" fillId="0" borderId="1" xfId="3" applyFont="1" applyBorder="1" applyAlignment="1">
      <alignment horizontal="center" vertical="center"/>
    </xf>
    <xf numFmtId="0" fontId="25" fillId="0" borderId="20" xfId="3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24" fillId="0" borderId="17" xfId="3" applyFont="1" applyBorder="1"/>
    <xf numFmtId="0" fontId="24" fillId="0" borderId="49" xfId="3" applyFont="1" applyBorder="1"/>
    <xf numFmtId="0" fontId="25" fillId="0" borderId="2" xfId="3" applyFont="1" applyBorder="1" applyAlignment="1">
      <alignment horizontal="center" vertical="center"/>
    </xf>
    <xf numFmtId="0" fontId="25" fillId="0" borderId="50" xfId="3" applyFont="1" applyBorder="1" applyAlignment="1">
      <alignment horizontal="center" vertical="center" wrapText="1"/>
    </xf>
    <xf numFmtId="0" fontId="24" fillId="0" borderId="50" xfId="3" applyFont="1" applyBorder="1"/>
    <xf numFmtId="0" fontId="25" fillId="0" borderId="12" xfId="3" applyFont="1" applyBorder="1" applyAlignment="1">
      <alignment horizontal="center" vertical="center"/>
    </xf>
    <xf numFmtId="0" fontId="25" fillId="0" borderId="13" xfId="3" applyFont="1" applyBorder="1" applyAlignment="1">
      <alignment horizontal="center" vertical="center"/>
    </xf>
    <xf numFmtId="0" fontId="25" fillId="0" borderId="8" xfId="3" applyFont="1" applyBorder="1" applyAlignment="1">
      <alignment horizontal="center" vertical="center"/>
    </xf>
    <xf numFmtId="0" fontId="24" fillId="0" borderId="54" xfId="3" applyFont="1" applyBorder="1"/>
    <xf numFmtId="0" fontId="25" fillId="0" borderId="4" xfId="3" applyFont="1" applyBorder="1" applyAlignment="1">
      <alignment horizontal="center" vertical="center"/>
    </xf>
    <xf numFmtId="0" fontId="24" fillId="0" borderId="15" xfId="3" applyFont="1" applyBorder="1"/>
    <xf numFmtId="0" fontId="24" fillId="0" borderId="23" xfId="3" applyFont="1" applyBorder="1"/>
    <xf numFmtId="0" fontId="25" fillId="0" borderId="5" xfId="3" applyFont="1" applyBorder="1" applyAlignment="1">
      <alignment horizontal="center" vertical="center" wrapText="1"/>
    </xf>
    <xf numFmtId="0" fontId="24" fillId="0" borderId="16" xfId="3" applyFont="1" applyBorder="1"/>
    <xf numFmtId="0" fontId="24" fillId="0" borderId="24" xfId="3" applyFont="1" applyBorder="1"/>
    <xf numFmtId="0" fontId="25" fillId="0" borderId="51" xfId="3" applyFont="1" applyBorder="1" applyAlignment="1">
      <alignment horizontal="center" vertical="center"/>
    </xf>
    <xf numFmtId="0" fontId="58" fillId="0" borderId="52" xfId="3" applyBorder="1"/>
    <xf numFmtId="0" fontId="24" fillId="0" borderId="53" xfId="3" applyFont="1" applyBorder="1"/>
    <xf numFmtId="0" fontId="25" fillId="0" borderId="7" xfId="3" applyFont="1" applyBorder="1" applyAlignment="1">
      <alignment horizontal="center" vertical="center"/>
    </xf>
    <xf numFmtId="0" fontId="23" fillId="0" borderId="8" xfId="3" applyFont="1" applyBorder="1" applyAlignment="1">
      <alignment horizontal="center" wrapText="1"/>
    </xf>
    <xf numFmtId="0" fontId="23" fillId="0" borderId="44" xfId="3" applyFont="1" applyBorder="1" applyAlignment="1">
      <alignment horizontal="center" wrapText="1"/>
    </xf>
    <xf numFmtId="0" fontId="23" fillId="0" borderId="47" xfId="3" applyFont="1" applyBorder="1" applyAlignment="1">
      <alignment horizontal="center" wrapText="1"/>
    </xf>
    <xf numFmtId="0" fontId="25" fillId="0" borderId="41" xfId="4" applyFont="1" applyBorder="1" applyAlignment="1">
      <alignment horizontal="center" vertical="center" wrapText="1"/>
    </xf>
    <xf numFmtId="0" fontId="24" fillId="0" borderId="27" xfId="4" applyFont="1" applyBorder="1"/>
    <xf numFmtId="0" fontId="25" fillId="0" borderId="38" xfId="4" applyFont="1" applyBorder="1" applyAlignment="1">
      <alignment horizontal="center" vertical="center" wrapText="1"/>
    </xf>
    <xf numFmtId="0" fontId="24" fillId="0" borderId="39" xfId="4" applyFont="1" applyBorder="1"/>
    <xf numFmtId="0" fontId="23" fillId="0" borderId="48" xfId="4" applyFont="1" applyBorder="1" applyAlignment="1">
      <alignment horizontal="center"/>
    </xf>
    <xf numFmtId="0" fontId="24" fillId="0" borderId="48" xfId="4" applyFont="1" applyBorder="1"/>
    <xf numFmtId="0" fontId="23" fillId="0" borderId="41" xfId="4" applyFont="1" applyBorder="1" applyAlignment="1">
      <alignment horizontal="center" wrapText="1"/>
    </xf>
    <xf numFmtId="0" fontId="24" fillId="0" borderId="47" xfId="4" applyFont="1" applyBorder="1"/>
    <xf numFmtId="0" fontId="23" fillId="0" borderId="41" xfId="4" applyFont="1" applyBorder="1" applyAlignment="1">
      <alignment horizontal="center"/>
    </xf>
    <xf numFmtId="0" fontId="25" fillId="0" borderId="8" xfId="4" applyFont="1" applyBorder="1" applyAlignment="1">
      <alignment horizontal="center" vertical="center" wrapText="1"/>
    </xf>
    <xf numFmtId="0" fontId="24" fillId="0" borderId="44" xfId="4" applyFont="1" applyBorder="1"/>
    <xf numFmtId="0" fontId="25" fillId="0" borderId="35" xfId="4" applyFont="1" applyBorder="1" applyAlignment="1">
      <alignment horizontal="center" vertical="center" wrapText="1"/>
    </xf>
    <xf numFmtId="0" fontId="24" fillId="0" borderId="54" xfId="4" applyFont="1" applyBorder="1"/>
    <xf numFmtId="0" fontId="25" fillId="0" borderId="50" xfId="4" applyFont="1" applyBorder="1" applyAlignment="1">
      <alignment horizontal="center" vertical="center" wrapText="1"/>
    </xf>
    <xf numFmtId="0" fontId="24" fillId="0" borderId="50" xfId="4" applyFont="1" applyBorder="1"/>
    <xf numFmtId="0" fontId="25" fillId="0" borderId="10" xfId="4" applyFont="1" applyBorder="1" applyAlignment="1">
      <alignment horizontal="center" vertical="center" wrapText="1"/>
    </xf>
    <xf numFmtId="0" fontId="24" fillId="0" borderId="10" xfId="4" applyFont="1" applyBorder="1"/>
    <xf numFmtId="0" fontId="24" fillId="0" borderId="11" xfId="4" applyFont="1" applyBorder="1"/>
    <xf numFmtId="0" fontId="25" fillId="0" borderId="27" xfId="4" applyFont="1" applyBorder="1" applyAlignment="1">
      <alignment horizontal="center" vertical="center" wrapText="1"/>
    </xf>
    <xf numFmtId="0" fontId="25" fillId="0" borderId="36" xfId="4" applyFont="1" applyBorder="1" applyAlignment="1">
      <alignment horizontal="center" vertical="center" wrapText="1"/>
    </xf>
    <xf numFmtId="0" fontId="24" fillId="0" borderId="17" xfId="4" applyFont="1" applyBorder="1"/>
    <xf numFmtId="0" fontId="24" fillId="0" borderId="49" xfId="4" applyFont="1" applyBorder="1"/>
    <xf numFmtId="0" fontId="25" fillId="0" borderId="36" xfId="4" applyFont="1" applyBorder="1" applyAlignment="1">
      <alignment horizontal="center" vertical="center"/>
    </xf>
    <xf numFmtId="0" fontId="24" fillId="0" borderId="26" xfId="4" applyFont="1" applyBorder="1"/>
    <xf numFmtId="0" fontId="25" fillId="0" borderId="38" xfId="4" applyFont="1" applyBorder="1" applyAlignment="1">
      <alignment horizontal="center" vertical="center"/>
    </xf>
    <xf numFmtId="0" fontId="24" fillId="0" borderId="36" xfId="4" applyFont="1" applyBorder="1"/>
    <xf numFmtId="0" fontId="23" fillId="0" borderId="50" xfId="4" applyFont="1" applyBorder="1" applyAlignment="1">
      <alignment horizontal="center"/>
    </xf>
    <xf numFmtId="0" fontId="25" fillId="0" borderId="14" xfId="4" applyFont="1" applyBorder="1" applyAlignment="1">
      <alignment horizontal="center" vertical="center" wrapText="1"/>
    </xf>
    <xf numFmtId="0" fontId="24" fillId="0" borderId="22" xfId="4" applyFont="1" applyBorder="1"/>
    <xf numFmtId="0" fontId="24" fillId="0" borderId="29" xfId="4" applyFont="1" applyBorder="1"/>
    <xf numFmtId="0" fontId="25" fillId="0" borderId="21" xfId="4" applyFont="1" applyBorder="1" applyAlignment="1">
      <alignment horizontal="center" vertical="center" wrapText="1"/>
    </xf>
    <xf numFmtId="0" fontId="24" fillId="0" borderId="30" xfId="4" applyFont="1" applyBorder="1"/>
    <xf numFmtId="0" fontId="25" fillId="0" borderId="13" xfId="4" applyFont="1" applyBorder="1" applyAlignment="1">
      <alignment horizontal="center" vertical="center" wrapText="1"/>
    </xf>
    <xf numFmtId="0" fontId="24" fillId="0" borderId="7" xfId="4" applyFont="1" applyBorder="1"/>
    <xf numFmtId="0" fontId="25" fillId="0" borderId="10" xfId="4" applyFont="1" applyBorder="1" applyAlignment="1">
      <alignment horizontal="center" vertical="center"/>
    </xf>
    <xf numFmtId="0" fontId="25" fillId="0" borderId="2" xfId="4" applyFont="1" applyBorder="1" applyAlignment="1">
      <alignment horizontal="center" vertical="center" wrapText="1"/>
    </xf>
    <xf numFmtId="0" fontId="24" fillId="0" borderId="46" xfId="4" applyFont="1" applyBorder="1"/>
    <xf numFmtId="0" fontId="25" fillId="0" borderId="1" xfId="4" applyFont="1" applyBorder="1" applyAlignment="1">
      <alignment horizontal="center" vertical="center" wrapText="1"/>
    </xf>
    <xf numFmtId="0" fontId="25" fillId="0" borderId="38" xfId="5" applyFont="1" applyBorder="1" applyAlignment="1">
      <alignment horizontal="center" vertical="center"/>
    </xf>
    <xf numFmtId="0" fontId="24" fillId="0" borderId="36" xfId="5" applyFont="1" applyBorder="1"/>
    <xf numFmtId="0" fontId="25" fillId="0" borderId="10" xfId="5" applyFont="1" applyBorder="1" applyAlignment="1">
      <alignment horizontal="center" vertical="center"/>
    </xf>
    <xf numFmtId="0" fontId="24" fillId="0" borderId="10" xfId="5" applyFont="1" applyBorder="1"/>
    <xf numFmtId="0" fontId="24" fillId="0" borderId="11" xfId="5" applyFont="1" applyBorder="1"/>
    <xf numFmtId="0" fontId="25" fillId="0" borderId="36" xfId="5" applyFont="1" applyBorder="1" applyAlignment="1">
      <alignment horizontal="center" vertical="center" wrapText="1"/>
    </xf>
    <xf numFmtId="0" fontId="24" fillId="0" borderId="17" xfId="5" applyFont="1" applyBorder="1"/>
    <xf numFmtId="0" fontId="24" fillId="0" borderId="49" xfId="5" applyFont="1" applyBorder="1"/>
    <xf numFmtId="0" fontId="25" fillId="0" borderId="14" xfId="5" applyFont="1" applyBorder="1" applyAlignment="1">
      <alignment horizontal="center" vertical="center" wrapText="1"/>
    </xf>
    <xf numFmtId="0" fontId="24" fillId="0" borderId="22" xfId="5" applyFont="1" applyBorder="1"/>
    <xf numFmtId="0" fontId="24" fillId="0" borderId="29" xfId="5" applyFont="1" applyBorder="1"/>
    <xf numFmtId="0" fontId="25" fillId="0" borderId="41" xfId="5" applyFont="1" applyBorder="1" applyAlignment="1">
      <alignment horizontal="center" vertical="center" wrapText="1"/>
    </xf>
    <xf numFmtId="0" fontId="24" fillId="0" borderId="27" xfId="5" applyFont="1" applyBorder="1"/>
    <xf numFmtId="0" fontId="25" fillId="0" borderId="38" xfId="5" applyFont="1" applyBorder="1" applyAlignment="1">
      <alignment horizontal="center" vertical="center" wrapText="1"/>
    </xf>
    <xf numFmtId="0" fontId="24" fillId="0" borderId="39" xfId="5" applyFont="1" applyBorder="1"/>
    <xf numFmtId="0" fontId="25" fillId="0" borderId="21" xfId="5" applyFont="1" applyBorder="1" applyAlignment="1">
      <alignment horizontal="center" vertical="center" wrapText="1"/>
    </xf>
    <xf numFmtId="0" fontId="24" fillId="0" borderId="30" xfId="5" applyFont="1" applyBorder="1"/>
    <xf numFmtId="0" fontId="25" fillId="0" borderId="36" xfId="5" applyFont="1" applyBorder="1" applyAlignment="1">
      <alignment horizontal="center" vertical="center"/>
    </xf>
    <xf numFmtId="0" fontId="24" fillId="0" borderId="26" xfId="5" applyFont="1" applyBorder="1"/>
    <xf numFmtId="0" fontId="25" fillId="0" borderId="35" xfId="5" applyFont="1" applyBorder="1" applyAlignment="1">
      <alignment horizontal="center" vertical="center" wrapText="1"/>
    </xf>
    <xf numFmtId="0" fontId="24" fillId="0" borderId="7" xfId="5" applyFont="1" applyBorder="1"/>
    <xf numFmtId="0" fontId="25" fillId="0" borderId="8" xfId="5" applyFont="1" applyBorder="1" applyAlignment="1">
      <alignment horizontal="center" vertical="center" wrapText="1"/>
    </xf>
    <xf numFmtId="0" fontId="24" fillId="0" borderId="44" xfId="5" applyFont="1" applyBorder="1"/>
    <xf numFmtId="0" fontId="25" fillId="0" borderId="13" xfId="5" applyFont="1" applyBorder="1" applyAlignment="1">
      <alignment horizontal="center" vertical="center" wrapText="1"/>
    </xf>
    <xf numFmtId="0" fontId="23" fillId="0" borderId="1" xfId="5" applyFont="1" applyBorder="1" applyAlignment="1">
      <alignment horizontal="center"/>
    </xf>
    <xf numFmtId="0" fontId="24" fillId="0" borderId="2" xfId="5" applyFont="1" applyBorder="1"/>
    <xf numFmtId="0" fontId="24" fillId="0" borderId="46" xfId="5" applyFont="1" applyBorder="1"/>
    <xf numFmtId="0" fontId="23" fillId="0" borderId="41" xfId="5" applyFont="1" applyBorder="1" applyAlignment="1">
      <alignment horizontal="center" wrapText="1"/>
    </xf>
    <xf numFmtId="0" fontId="24" fillId="0" borderId="47" xfId="5" applyFont="1" applyBorder="1"/>
    <xf numFmtId="0" fontId="23" fillId="0" borderId="41" xfId="5" applyFont="1" applyBorder="1" applyAlignment="1">
      <alignment horizontal="center"/>
    </xf>
    <xf numFmtId="0" fontId="25" fillId="0" borderId="88" xfId="5" applyFont="1" applyBorder="1" applyAlignment="1">
      <alignment horizontal="center" vertical="center"/>
    </xf>
    <xf numFmtId="0" fontId="25" fillId="0" borderId="89" xfId="5" applyFont="1" applyBorder="1" applyAlignment="1">
      <alignment horizontal="center" vertical="center"/>
    </xf>
    <xf numFmtId="0" fontId="25" fillId="0" borderId="90" xfId="5" applyFont="1" applyBorder="1" applyAlignment="1">
      <alignment horizontal="center" vertical="center"/>
    </xf>
    <xf numFmtId="0" fontId="25" fillId="0" borderId="50" xfId="5" applyFont="1" applyBorder="1" applyAlignment="1">
      <alignment horizontal="center" vertical="center" wrapText="1"/>
    </xf>
    <xf numFmtId="0" fontId="24" fillId="0" borderId="50" xfId="5" applyFont="1" applyBorder="1"/>
    <xf numFmtId="0" fontId="25" fillId="0" borderId="60" xfId="5" applyFont="1" applyBorder="1" applyAlignment="1">
      <alignment horizontal="center" vertical="center" wrapText="1"/>
    </xf>
    <xf numFmtId="0" fontId="25" fillId="0" borderId="52" xfId="5" applyFont="1" applyBorder="1" applyAlignment="1">
      <alignment horizontal="center" vertical="center" wrapText="1"/>
    </xf>
    <xf numFmtId="0" fontId="25" fillId="0" borderId="53" xfId="5" applyFont="1" applyBorder="1" applyAlignment="1">
      <alignment horizontal="center" vertical="center" wrapText="1"/>
    </xf>
    <xf numFmtId="0" fontId="25" fillId="0" borderId="7" xfId="5" applyFont="1" applyBorder="1" applyAlignment="1">
      <alignment horizontal="center" vertical="center" wrapText="1"/>
    </xf>
    <xf numFmtId="0" fontId="25" fillId="0" borderId="9" xfId="5" applyFont="1" applyBorder="1" applyAlignment="1">
      <alignment horizontal="center" vertical="center" wrapText="1"/>
    </xf>
    <xf numFmtId="0" fontId="25" fillId="0" borderId="1" xfId="5" applyFont="1" applyBorder="1" applyAlignment="1">
      <alignment horizontal="center" vertical="center" wrapText="1"/>
    </xf>
    <xf numFmtId="0" fontId="25" fillId="0" borderId="91" xfId="5" applyFont="1" applyBorder="1" applyAlignment="1">
      <alignment horizontal="center" vertical="center"/>
    </xf>
    <xf numFmtId="0" fontId="25" fillId="0" borderId="71" xfId="5" applyFont="1" applyBorder="1" applyAlignment="1">
      <alignment horizontal="center" vertical="center"/>
    </xf>
  </cellXfs>
  <cellStyles count="6">
    <cellStyle name="Normal" xfId="0" builtinId="0"/>
    <cellStyle name="Normal 2" xfId="1" xr:uid="{45381218-A127-495E-8D17-6A9AE90C243C}"/>
    <cellStyle name="Normal 2 2" xfId="2" xr:uid="{A86EBC31-BF00-4B41-B331-9D214295CEF7}"/>
    <cellStyle name="Normal 2 3" xfId="4" xr:uid="{3A2DB938-2947-4544-ABDE-244B91FB7F6C}"/>
    <cellStyle name="Normal 3" xfId="3" xr:uid="{814356FA-3F2A-4D8D-A59A-B5B3D8C730DE}"/>
    <cellStyle name="Normal 4" xfId="5" xr:uid="{2770B7E4-7669-470D-8BA9-CE8DC63A9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030A0"/>
  </sheetPr>
  <dimension ref="A1:AN1000"/>
  <sheetViews>
    <sheetView workbookViewId="0">
      <selection activeCell="I20" sqref="I20"/>
    </sheetView>
  </sheetViews>
  <sheetFormatPr defaultColWidth="14.44140625" defaultRowHeight="15" customHeight="1"/>
  <cols>
    <col min="1" max="1" width="4" customWidth="1"/>
    <col min="2" max="2" width="10.33203125" customWidth="1"/>
    <col min="3" max="3" width="12.6640625" customWidth="1"/>
    <col min="4" max="4" width="8.109375" customWidth="1"/>
    <col min="5" max="5" width="5.33203125" customWidth="1"/>
    <col min="6" max="6" width="6.5546875" customWidth="1"/>
    <col min="7" max="7" width="3.44140625" customWidth="1"/>
    <col min="8" max="8" width="4.33203125" customWidth="1"/>
    <col min="9" max="9" width="5.33203125" customWidth="1"/>
    <col min="10" max="10" width="3.5546875" customWidth="1"/>
    <col min="11" max="11" width="6.88671875" customWidth="1"/>
    <col min="12" max="13" width="6.33203125" customWidth="1"/>
    <col min="14" max="14" width="5.5546875" customWidth="1"/>
    <col min="15" max="15" width="7.109375" customWidth="1"/>
    <col min="16" max="16" width="8.6640625" customWidth="1"/>
    <col min="17" max="17" width="9" customWidth="1"/>
    <col min="18" max="18" width="7.6640625" customWidth="1"/>
    <col min="19" max="19" width="7" customWidth="1"/>
    <col min="20" max="22" width="6.6640625" customWidth="1"/>
    <col min="23" max="23" width="8.5546875" bestFit="1" customWidth="1"/>
    <col min="24" max="24" width="6.6640625" customWidth="1"/>
    <col min="25" max="25" width="8.5546875" customWidth="1"/>
    <col min="26" max="27" width="6.6640625" customWidth="1"/>
    <col min="28" max="28" width="8.88671875" customWidth="1"/>
    <col min="29" max="29" width="11.5546875" customWidth="1"/>
    <col min="30" max="30" width="11.109375" customWidth="1"/>
    <col min="31" max="40" width="8.6640625" customWidth="1"/>
  </cols>
  <sheetData>
    <row r="1" spans="1:40" ht="18.75" customHeight="1">
      <c r="A1" s="1"/>
      <c r="B1" s="1" t="s">
        <v>0</v>
      </c>
    </row>
    <row r="2" spans="1:40" ht="14.25" customHeight="1"/>
    <row r="3" spans="1:40" ht="15.75" customHeight="1">
      <c r="B3" s="2" t="s">
        <v>1</v>
      </c>
      <c r="C3" s="2"/>
      <c r="D3" s="3" t="s">
        <v>61</v>
      </c>
    </row>
    <row r="4" spans="1:40" ht="14.25" customHeight="1">
      <c r="B4" s="2" t="s">
        <v>3</v>
      </c>
      <c r="C4" s="2"/>
      <c r="D4" s="4" t="s">
        <v>197</v>
      </c>
      <c r="F4" s="5">
        <v>31</v>
      </c>
    </row>
    <row r="5" spans="1:40" ht="15" customHeight="1">
      <c r="B5" s="2" t="s">
        <v>4</v>
      </c>
      <c r="C5" s="2"/>
      <c r="D5" s="6" t="s">
        <v>5</v>
      </c>
    </row>
    <row r="6" spans="1:40" ht="14.25" customHeight="1">
      <c r="U6" s="37"/>
      <c r="V6" s="37"/>
      <c r="W6" s="37"/>
      <c r="X6" s="37"/>
      <c r="Y6" s="37"/>
      <c r="Z6" s="37"/>
      <c r="AA6" s="37"/>
      <c r="AB6" s="37"/>
      <c r="AE6" s="28"/>
      <c r="AF6" s="28"/>
      <c r="AG6" s="28"/>
      <c r="AH6" s="28"/>
      <c r="AI6" s="28"/>
      <c r="AJ6" s="28" t="s">
        <v>62</v>
      </c>
      <c r="AK6" s="28"/>
      <c r="AL6" s="28"/>
      <c r="AM6" s="28"/>
      <c r="AN6" s="38" t="s">
        <v>24</v>
      </c>
    </row>
    <row r="7" spans="1:40" ht="15" customHeight="1">
      <c r="A7" s="600" t="s">
        <v>54</v>
      </c>
      <c r="B7" s="600" t="s">
        <v>8</v>
      </c>
      <c r="C7" s="602" t="s">
        <v>9</v>
      </c>
      <c r="D7" s="602" t="s">
        <v>10</v>
      </c>
      <c r="E7" s="16"/>
      <c r="F7" s="16"/>
      <c r="G7" s="603" t="s">
        <v>13</v>
      </c>
      <c r="H7" s="604"/>
      <c r="I7" s="604"/>
      <c r="J7" s="584"/>
      <c r="K7" s="23"/>
      <c r="L7" s="596" t="s">
        <v>55</v>
      </c>
      <c r="M7" s="596" t="s">
        <v>15</v>
      </c>
      <c r="N7" s="596" t="s">
        <v>16</v>
      </c>
      <c r="O7" s="605" t="s">
        <v>56</v>
      </c>
      <c r="P7" s="608" t="s">
        <v>19</v>
      </c>
      <c r="Q7" s="592"/>
      <c r="R7" s="592"/>
      <c r="S7" s="592"/>
      <c r="T7" s="592"/>
      <c r="U7" s="592"/>
      <c r="V7" s="592"/>
      <c r="W7" s="593"/>
      <c r="X7" s="609" t="s">
        <v>20</v>
      </c>
      <c r="Y7" s="593"/>
      <c r="Z7" s="610" t="s">
        <v>21</v>
      </c>
      <c r="AA7" s="611"/>
      <c r="AB7" s="596" t="s">
        <v>22</v>
      </c>
      <c r="AC7" s="591" t="s">
        <v>23</v>
      </c>
      <c r="AD7" s="592"/>
      <c r="AE7" s="593"/>
      <c r="AF7" s="577" t="s">
        <v>43</v>
      </c>
      <c r="AG7" s="580" t="s">
        <v>24</v>
      </c>
    </row>
    <row r="8" spans="1:40" ht="14.25" customHeight="1">
      <c r="A8" s="601"/>
      <c r="B8" s="601"/>
      <c r="C8" s="601"/>
      <c r="D8" s="601"/>
      <c r="E8" s="27" t="s">
        <v>11</v>
      </c>
      <c r="F8" s="27" t="s">
        <v>12</v>
      </c>
      <c r="G8" s="16" t="s">
        <v>25</v>
      </c>
      <c r="H8" s="16" t="s">
        <v>26</v>
      </c>
      <c r="I8" s="16" t="s">
        <v>27</v>
      </c>
      <c r="J8" s="16" t="s">
        <v>28</v>
      </c>
      <c r="K8" s="28" t="s">
        <v>30</v>
      </c>
      <c r="L8" s="597"/>
      <c r="M8" s="597"/>
      <c r="N8" s="597"/>
      <c r="O8" s="606"/>
      <c r="P8" s="583" t="s">
        <v>31</v>
      </c>
      <c r="Q8" s="584"/>
      <c r="R8" s="583" t="s">
        <v>32</v>
      </c>
      <c r="S8" s="584"/>
      <c r="T8" s="585" t="s">
        <v>33</v>
      </c>
      <c r="U8" s="585" t="s">
        <v>34</v>
      </c>
      <c r="V8" s="585" t="s">
        <v>35</v>
      </c>
      <c r="W8" s="587" t="s">
        <v>36</v>
      </c>
      <c r="X8" s="589" t="s">
        <v>37</v>
      </c>
      <c r="Y8" s="585" t="s">
        <v>38</v>
      </c>
      <c r="Z8" s="585" t="s">
        <v>39</v>
      </c>
      <c r="AA8" s="585" t="s">
        <v>40</v>
      </c>
      <c r="AB8" s="597"/>
      <c r="AC8" s="598" t="s">
        <v>41</v>
      </c>
      <c r="AD8" s="594" t="s">
        <v>42</v>
      </c>
      <c r="AE8" s="595"/>
      <c r="AF8" s="578"/>
      <c r="AG8" s="581"/>
    </row>
    <row r="9" spans="1:40" ht="15" customHeight="1">
      <c r="K9" s="10"/>
      <c r="L9" s="597"/>
      <c r="M9" s="597"/>
      <c r="N9" s="597"/>
      <c r="O9" s="607"/>
      <c r="P9" s="12" t="s">
        <v>44</v>
      </c>
      <c r="Q9" s="12" t="s">
        <v>45</v>
      </c>
      <c r="R9" s="12" t="s">
        <v>46</v>
      </c>
      <c r="S9" s="12" t="s">
        <v>47</v>
      </c>
      <c r="T9" s="586"/>
      <c r="U9" s="586"/>
      <c r="V9" s="586"/>
      <c r="W9" s="588"/>
      <c r="X9" s="590"/>
      <c r="Y9" s="586"/>
      <c r="Z9" s="586"/>
      <c r="AA9" s="586"/>
      <c r="AB9" s="586"/>
      <c r="AC9" s="599"/>
      <c r="AD9" s="13"/>
      <c r="AE9" s="14" t="s">
        <v>48</v>
      </c>
      <c r="AF9" s="579"/>
      <c r="AG9" s="582"/>
    </row>
    <row r="10" spans="1:40" ht="15" customHeight="1">
      <c r="K10" s="10"/>
      <c r="L10" s="39"/>
      <c r="M10" s="39"/>
      <c r="N10" s="39"/>
      <c r="O10" s="112"/>
      <c r="P10" s="11"/>
      <c r="Q10" s="11"/>
      <c r="R10" s="11"/>
      <c r="S10" s="11"/>
      <c r="T10" s="11"/>
      <c r="U10" s="11"/>
      <c r="V10" s="11"/>
      <c r="W10" s="29"/>
      <c r="X10" s="26"/>
      <c r="Y10" s="11"/>
      <c r="Z10" s="40"/>
      <c r="AA10" s="40"/>
      <c r="AB10" s="10"/>
      <c r="AC10" s="30"/>
      <c r="AD10" s="10"/>
      <c r="AE10" s="31"/>
      <c r="AF10" s="41"/>
      <c r="AG10" s="31"/>
    </row>
    <row r="11" spans="1:40" ht="17.25" customHeight="1">
      <c r="A11" s="16">
        <v>1</v>
      </c>
      <c r="B11" s="461" t="s">
        <v>64</v>
      </c>
      <c r="C11" s="462" t="s">
        <v>50</v>
      </c>
      <c r="D11" s="16">
        <v>11000</v>
      </c>
      <c r="E11" s="16">
        <f>ROUNDDOWN((D11/F4),)</f>
        <v>354</v>
      </c>
      <c r="F11" s="16">
        <f>ROUNDDOWN((D11/F4/9),)</f>
        <v>39</v>
      </c>
      <c r="G11" s="16">
        <v>31</v>
      </c>
      <c r="H11" s="16">
        <v>0</v>
      </c>
      <c r="I11" s="16">
        <v>4</v>
      </c>
      <c r="J11" s="16">
        <v>0</v>
      </c>
      <c r="K11" s="16">
        <f>SUM(G11:J11)</f>
        <v>35</v>
      </c>
      <c r="L11" s="16">
        <v>0</v>
      </c>
      <c r="M11" s="19">
        <f>IF(K11=F4,D11,K11*E11)</f>
        <v>12390</v>
      </c>
      <c r="N11" s="16">
        <f>F11*L11</f>
        <v>0</v>
      </c>
      <c r="O11" s="108">
        <f>+M11+N11</f>
        <v>12390</v>
      </c>
      <c r="P11" s="17" t="s">
        <v>51</v>
      </c>
      <c r="Q11" s="18">
        <v>0</v>
      </c>
      <c r="R11" s="18">
        <v>0</v>
      </c>
      <c r="S11" s="19">
        <v>0</v>
      </c>
      <c r="T11" s="19">
        <v>0</v>
      </c>
      <c r="U11" s="19">
        <v>0</v>
      </c>
      <c r="V11" s="19">
        <v>0</v>
      </c>
      <c r="W11" s="18">
        <f>SUM(Q11:V11)+Q12</f>
        <v>0</v>
      </c>
      <c r="X11" s="19">
        <v>0</v>
      </c>
      <c r="Y11" s="18">
        <f>W11-X11</f>
        <v>0</v>
      </c>
      <c r="Z11" s="19"/>
      <c r="AA11" s="20"/>
      <c r="AB11" s="128">
        <f>O11-X11+AA11</f>
        <v>12390</v>
      </c>
      <c r="AC11" s="289"/>
      <c r="AD11" s="19"/>
      <c r="AE11" s="19"/>
      <c r="AF11" s="33"/>
      <c r="AG11" s="19" t="s">
        <v>52</v>
      </c>
      <c r="AL11" s="16"/>
      <c r="AM11" s="16"/>
      <c r="AN11" s="16"/>
    </row>
    <row r="12" spans="1:40" ht="17.25" customHeight="1">
      <c r="A12" s="15"/>
      <c r="B12" s="461"/>
      <c r="C12" s="462"/>
      <c r="D12" s="16"/>
      <c r="E12" s="16"/>
      <c r="F12" s="16"/>
      <c r="G12" s="16"/>
      <c r="H12" s="16"/>
      <c r="I12" s="16"/>
      <c r="J12" s="16"/>
      <c r="K12" s="16"/>
      <c r="L12" s="16"/>
      <c r="M12" s="19"/>
      <c r="N12" s="16"/>
      <c r="O12" s="72"/>
      <c r="P12" s="17"/>
      <c r="Q12" s="18"/>
      <c r="R12" s="18"/>
      <c r="S12" s="19"/>
      <c r="T12" s="19"/>
      <c r="U12" s="19"/>
      <c r="V12" s="19"/>
      <c r="W12" s="18"/>
      <c r="X12" s="19"/>
      <c r="Y12" s="18"/>
      <c r="Z12" s="19"/>
      <c r="AA12" s="20"/>
      <c r="AB12" s="128"/>
      <c r="AC12" s="19"/>
      <c r="AD12" s="19"/>
      <c r="AE12" s="19"/>
      <c r="AF12" s="33"/>
      <c r="AG12" s="19"/>
      <c r="AL12" s="16"/>
      <c r="AM12" s="16"/>
      <c r="AN12" s="16"/>
    </row>
    <row r="13" spans="1:40" ht="15" customHeight="1">
      <c r="A13" s="15">
        <v>2</v>
      </c>
      <c r="B13" s="463" t="s">
        <v>63</v>
      </c>
      <c r="C13" s="462" t="s">
        <v>50</v>
      </c>
      <c r="D13" s="16">
        <v>11000</v>
      </c>
      <c r="E13" s="16">
        <f>ROUNDDOWN((D13/F4),)</f>
        <v>354</v>
      </c>
      <c r="F13" s="16">
        <f>ROUNDDOWN((D13/F4/9),)</f>
        <v>39</v>
      </c>
      <c r="G13" s="16">
        <v>31</v>
      </c>
      <c r="H13" s="16">
        <v>0</v>
      </c>
      <c r="I13" s="16">
        <v>4</v>
      </c>
      <c r="J13" s="16">
        <v>0</v>
      </c>
      <c r="K13" s="16">
        <f>SUM(G13:J13)</f>
        <v>35</v>
      </c>
      <c r="L13" s="16">
        <v>0</v>
      </c>
      <c r="M13" s="19">
        <f>IF(K13=F4,D13,K13*E13)</f>
        <v>12390</v>
      </c>
      <c r="N13" s="16">
        <f>F13*L13</f>
        <v>0</v>
      </c>
      <c r="O13" s="108">
        <f>+M13+N13</f>
        <v>12390</v>
      </c>
      <c r="P13" s="17" t="s">
        <v>51</v>
      </c>
      <c r="Q13" s="18">
        <v>0</v>
      </c>
      <c r="R13" s="18">
        <v>0</v>
      </c>
      <c r="S13" s="19">
        <v>0</v>
      </c>
      <c r="T13" s="19">
        <v>0</v>
      </c>
      <c r="U13" s="19">
        <v>0</v>
      </c>
      <c r="V13" s="19">
        <v>0</v>
      </c>
      <c r="W13" s="18">
        <f>SUM(Q13:V13)</f>
        <v>0</v>
      </c>
      <c r="X13" s="19">
        <v>0</v>
      </c>
      <c r="Y13" s="18">
        <f>W13-X13</f>
        <v>0</v>
      </c>
      <c r="Z13" s="19"/>
      <c r="AA13" s="20"/>
      <c r="AB13" s="128">
        <f>O13-X13+AA13</f>
        <v>12390</v>
      </c>
      <c r="AC13" s="289"/>
      <c r="AD13" s="19"/>
      <c r="AE13" s="19"/>
      <c r="AF13" s="33"/>
      <c r="AG13" s="19" t="s">
        <v>52</v>
      </c>
      <c r="AL13" s="16"/>
      <c r="AM13" s="16"/>
      <c r="AN13" s="16"/>
    </row>
    <row r="14" spans="1:40" ht="14.25" customHeight="1">
      <c r="AB14" s="129"/>
    </row>
    <row r="15" spans="1:40" ht="14.25" customHeight="1">
      <c r="O15">
        <f>SUM(O11:O13)</f>
        <v>24780</v>
      </c>
      <c r="AB15" s="130">
        <f>AB11+AB13</f>
        <v>24780</v>
      </c>
      <c r="AC15" s="289" t="s">
        <v>211</v>
      </c>
    </row>
    <row r="16" spans="1:40" ht="14.25" customHeight="1"/>
    <row r="17" spans="24:24" ht="14.25" customHeight="1"/>
    <row r="18" spans="24:24" ht="14.25" customHeight="1">
      <c r="X18" s="5" t="s">
        <v>60</v>
      </c>
    </row>
    <row r="19" spans="24:24" ht="14.25" customHeight="1"/>
    <row r="20" spans="24:24" ht="14.25" customHeight="1"/>
    <row r="21" spans="24:24" ht="14.25" customHeight="1"/>
    <row r="22" spans="24:24" ht="14.25" customHeight="1"/>
    <row r="23" spans="24:24" ht="14.25" customHeight="1"/>
    <row r="24" spans="24:24" ht="14.25" customHeight="1"/>
    <row r="25" spans="24:24" ht="14.25" customHeight="1"/>
    <row r="26" spans="24:24" ht="14.25" customHeight="1"/>
    <row r="27" spans="24:24" ht="14.25" customHeight="1"/>
    <row r="28" spans="24:24" ht="14.25" customHeight="1"/>
    <row r="29" spans="24:24" ht="14.25" customHeight="1"/>
    <row r="30" spans="24:24" ht="14.25" customHeight="1"/>
    <row r="31" spans="24:24" ht="14.25" customHeight="1"/>
    <row r="32" spans="24:2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L7:L9"/>
    <mergeCell ref="M7:M9"/>
    <mergeCell ref="Z8:Z9"/>
    <mergeCell ref="AA8:AA9"/>
    <mergeCell ref="N7:N9"/>
    <mergeCell ref="O7:O9"/>
    <mergeCell ref="P7:W7"/>
    <mergeCell ref="X7:Y7"/>
    <mergeCell ref="Z7:AA7"/>
    <mergeCell ref="A7:A8"/>
    <mergeCell ref="B7:B8"/>
    <mergeCell ref="C7:C8"/>
    <mergeCell ref="D7:D8"/>
    <mergeCell ref="G7:J7"/>
    <mergeCell ref="AF7:AF9"/>
    <mergeCell ref="AG7:AG9"/>
    <mergeCell ref="P8:Q8"/>
    <mergeCell ref="R8:S8"/>
    <mergeCell ref="T8:T9"/>
    <mergeCell ref="U8:U9"/>
    <mergeCell ref="V8:V9"/>
    <mergeCell ref="W8:W9"/>
    <mergeCell ref="X8:X9"/>
    <mergeCell ref="Y8:Y9"/>
    <mergeCell ref="AC7:AE7"/>
    <mergeCell ref="AD8:AE8"/>
    <mergeCell ref="AB7:AB9"/>
    <mergeCell ref="AC8:AC9"/>
  </mergeCells>
  <dataValidations disablePrompts="1" count="2">
    <dataValidation type="list" allowBlank="1" showErrorMessage="1" sqref="AG11:AG13" xr:uid="{00000000-0002-0000-0300-000000000000}">
      <formula1>"Working,Left"</formula1>
    </dataValidation>
    <dataValidation type="list" allowBlank="1" showErrorMessage="1" sqref="AD11:AD13" xr:uid="{00000000-0002-0000-0300-000001000000}">
      <formula1>"Own,Other"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7030A0"/>
  </sheetPr>
  <dimension ref="A1:AG997"/>
  <sheetViews>
    <sheetView zoomScale="98" workbookViewId="0">
      <selection activeCell="F24" sqref="F24"/>
    </sheetView>
  </sheetViews>
  <sheetFormatPr defaultColWidth="14.44140625" defaultRowHeight="15" customHeight="1"/>
  <cols>
    <col min="1" max="1" width="4.109375" customWidth="1"/>
    <col min="2" max="2" width="10.5546875" customWidth="1"/>
    <col min="3" max="3" width="12.33203125" bestFit="1" customWidth="1"/>
    <col min="4" max="4" width="6.88671875" customWidth="1"/>
    <col min="5" max="5" width="4.5546875" customWidth="1"/>
    <col min="6" max="6" width="5.5546875" customWidth="1"/>
    <col min="7" max="7" width="4.5546875" customWidth="1"/>
    <col min="8" max="8" width="3.44140625" customWidth="1"/>
    <col min="9" max="9" width="4.6640625" customWidth="1"/>
    <col min="10" max="10" width="3" customWidth="1"/>
    <col min="11" max="11" width="5.6640625" customWidth="1"/>
    <col min="12" max="12" width="6" customWidth="1"/>
    <col min="13" max="13" width="6.6640625" customWidth="1"/>
    <col min="14" max="14" width="5.33203125" customWidth="1"/>
    <col min="15" max="15" width="6.6640625" customWidth="1"/>
    <col min="16" max="16" width="11.44140625" customWidth="1"/>
    <col min="17" max="17" width="8.88671875" customWidth="1"/>
    <col min="18" max="18" width="7.6640625" customWidth="1"/>
    <col min="19" max="19" width="7" customWidth="1"/>
    <col min="20" max="22" width="6.6640625" customWidth="1"/>
    <col min="23" max="23" width="8.44140625" customWidth="1"/>
    <col min="24" max="24" width="6.6640625" customWidth="1"/>
    <col min="25" max="25" width="8.44140625" customWidth="1"/>
    <col min="26" max="26" width="6.6640625" customWidth="1"/>
    <col min="27" max="27" width="4.5546875" bestFit="1" customWidth="1"/>
    <col min="28" max="28" width="9.5546875" customWidth="1"/>
    <col min="29" max="29" width="11.44140625" customWidth="1"/>
    <col min="30" max="30" width="11.5546875" customWidth="1"/>
    <col min="31" max="31" width="11.109375" customWidth="1"/>
    <col min="32" max="33" width="8.6640625" customWidth="1"/>
  </cols>
  <sheetData>
    <row r="1" spans="1:33" ht="18.75" customHeight="1">
      <c r="A1" s="1"/>
      <c r="B1" s="1" t="s">
        <v>0</v>
      </c>
    </row>
    <row r="2" spans="1:33" ht="14.25" customHeight="1"/>
    <row r="3" spans="1:33" ht="15.75" customHeight="1">
      <c r="B3" s="2" t="s">
        <v>1</v>
      </c>
      <c r="C3" s="2"/>
      <c r="D3" s="3" t="s">
        <v>65</v>
      </c>
    </row>
    <row r="4" spans="1:33" ht="14.25" customHeight="1">
      <c r="B4" s="2" t="s">
        <v>3</v>
      </c>
      <c r="C4" s="2"/>
      <c r="D4" s="282" t="s">
        <v>196</v>
      </c>
      <c r="F4" s="5">
        <v>31</v>
      </c>
    </row>
    <row r="5" spans="1:33" ht="15" customHeight="1">
      <c r="B5" s="2" t="s">
        <v>4</v>
      </c>
      <c r="C5" s="2"/>
      <c r="D5" s="6" t="s">
        <v>5</v>
      </c>
    </row>
    <row r="6" spans="1:33" ht="14.25" customHeight="1">
      <c r="V6" s="37"/>
      <c r="W6" s="37"/>
      <c r="X6" s="37"/>
      <c r="Y6" s="37"/>
      <c r="Z6" s="37"/>
      <c r="AA6" s="37"/>
      <c r="AB6" s="37"/>
      <c r="AC6" s="37"/>
    </row>
    <row r="7" spans="1:33" ht="15" customHeight="1">
      <c r="A7" s="615" t="s">
        <v>54</v>
      </c>
      <c r="B7" s="617" t="s">
        <v>8</v>
      </c>
      <c r="C7" s="619" t="s">
        <v>9</v>
      </c>
      <c r="D7" s="619" t="s">
        <v>10</v>
      </c>
      <c r="E7" s="84"/>
      <c r="F7" s="84"/>
      <c r="G7" s="85" t="s">
        <v>13</v>
      </c>
      <c r="H7" s="86"/>
      <c r="I7" s="86"/>
      <c r="J7" s="86"/>
      <c r="K7" s="75"/>
      <c r="L7" s="596" t="s">
        <v>55</v>
      </c>
      <c r="M7" s="596" t="s">
        <v>15</v>
      </c>
      <c r="N7" s="596" t="s">
        <v>16</v>
      </c>
      <c r="O7" s="605" t="s">
        <v>56</v>
      </c>
      <c r="P7" s="608" t="s">
        <v>19</v>
      </c>
      <c r="Q7" s="592"/>
      <c r="R7" s="592"/>
      <c r="S7" s="592"/>
      <c r="T7" s="592"/>
      <c r="U7" s="592"/>
      <c r="V7" s="592"/>
      <c r="W7" s="593"/>
      <c r="X7" s="609" t="s">
        <v>20</v>
      </c>
      <c r="Y7" s="593"/>
      <c r="Z7" s="610" t="s">
        <v>21</v>
      </c>
      <c r="AA7" s="611"/>
      <c r="AB7" s="612" t="s">
        <v>22</v>
      </c>
      <c r="AC7" s="591" t="s">
        <v>23</v>
      </c>
      <c r="AD7" s="592"/>
      <c r="AE7" s="593"/>
      <c r="AF7" s="577" t="s">
        <v>43</v>
      </c>
      <c r="AG7" s="580" t="s">
        <v>24</v>
      </c>
    </row>
    <row r="8" spans="1:33" ht="14.25" customHeight="1">
      <c r="A8" s="616"/>
      <c r="B8" s="618"/>
      <c r="C8" s="618"/>
      <c r="D8" s="618"/>
      <c r="E8" s="87" t="s">
        <v>11</v>
      </c>
      <c r="F8" s="87" t="s">
        <v>12</v>
      </c>
      <c r="G8" s="84" t="s">
        <v>25</v>
      </c>
      <c r="H8" s="84" t="s">
        <v>26</v>
      </c>
      <c r="I8" s="84" t="s">
        <v>27</v>
      </c>
      <c r="J8" s="84" t="s">
        <v>28</v>
      </c>
      <c r="K8" s="76" t="s">
        <v>30</v>
      </c>
      <c r="L8" s="597"/>
      <c r="M8" s="597"/>
      <c r="N8" s="597"/>
      <c r="O8" s="606"/>
      <c r="P8" s="583" t="s">
        <v>31</v>
      </c>
      <c r="Q8" s="584"/>
      <c r="R8" s="583" t="s">
        <v>32</v>
      </c>
      <c r="S8" s="584"/>
      <c r="T8" s="585" t="s">
        <v>33</v>
      </c>
      <c r="U8" s="585" t="s">
        <v>34</v>
      </c>
      <c r="V8" s="585" t="s">
        <v>35</v>
      </c>
      <c r="W8" s="587" t="s">
        <v>36</v>
      </c>
      <c r="X8" s="589" t="s">
        <v>37</v>
      </c>
      <c r="Y8" s="585" t="s">
        <v>38</v>
      </c>
      <c r="Z8" s="585" t="s">
        <v>39</v>
      </c>
      <c r="AA8" s="585" t="s">
        <v>40</v>
      </c>
      <c r="AB8" s="613"/>
      <c r="AC8" s="598" t="s">
        <v>41</v>
      </c>
      <c r="AD8" s="594" t="s">
        <v>42</v>
      </c>
      <c r="AE8" s="595"/>
      <c r="AF8" s="578"/>
      <c r="AG8" s="581"/>
    </row>
    <row r="9" spans="1:33" ht="15" customHeight="1">
      <c r="B9" s="77"/>
      <c r="C9" s="77"/>
      <c r="D9" s="77"/>
      <c r="E9" s="77"/>
      <c r="F9" s="77"/>
      <c r="G9" s="77"/>
      <c r="H9" s="77"/>
      <c r="I9" s="77"/>
      <c r="J9" s="77"/>
      <c r="K9" s="78"/>
      <c r="L9" s="597"/>
      <c r="M9" s="597"/>
      <c r="N9" s="597"/>
      <c r="O9" s="607"/>
      <c r="P9" s="12" t="s">
        <v>44</v>
      </c>
      <c r="Q9" s="12" t="s">
        <v>45</v>
      </c>
      <c r="R9" s="12" t="s">
        <v>46</v>
      </c>
      <c r="S9" s="12" t="s">
        <v>47</v>
      </c>
      <c r="T9" s="586"/>
      <c r="U9" s="586"/>
      <c r="V9" s="586"/>
      <c r="W9" s="588"/>
      <c r="X9" s="590"/>
      <c r="Y9" s="586"/>
      <c r="Z9" s="586"/>
      <c r="AA9" s="586"/>
      <c r="AB9" s="614"/>
      <c r="AC9" s="599"/>
      <c r="AD9" s="13"/>
      <c r="AE9" s="14" t="s">
        <v>48</v>
      </c>
      <c r="AF9" s="579"/>
      <c r="AG9" s="582"/>
    </row>
    <row r="10" spans="1:33" ht="15" customHeight="1">
      <c r="A10" s="15">
        <v>1</v>
      </c>
      <c r="B10" s="79" t="s">
        <v>66</v>
      </c>
      <c r="C10" s="74" t="s">
        <v>50</v>
      </c>
      <c r="D10" s="74">
        <v>10500</v>
      </c>
      <c r="E10" s="74">
        <f>ROUNDDOWN((D10/F4),)</f>
        <v>338</v>
      </c>
      <c r="F10" s="74">
        <f>ROUNDDOWN((D10/F4/9),)</f>
        <v>37</v>
      </c>
      <c r="G10" s="74">
        <v>29</v>
      </c>
      <c r="H10" s="74">
        <v>0</v>
      </c>
      <c r="I10" s="74">
        <v>4</v>
      </c>
      <c r="J10" s="74">
        <v>0</v>
      </c>
      <c r="K10" s="74">
        <f>SUM(G10:J10)</f>
        <v>33</v>
      </c>
      <c r="L10" s="16">
        <v>0</v>
      </c>
      <c r="M10" s="19">
        <f>IF(K10=F4,D10,K10*E10)</f>
        <v>11154</v>
      </c>
      <c r="N10" s="16">
        <f>F10*L10</f>
        <v>0</v>
      </c>
      <c r="O10" s="108">
        <f>+M10+N10</f>
        <v>11154</v>
      </c>
      <c r="P10" s="17" t="s">
        <v>164</v>
      </c>
      <c r="Q10" s="18">
        <v>1500</v>
      </c>
      <c r="R10" s="18">
        <v>0</v>
      </c>
      <c r="S10" s="19">
        <v>0</v>
      </c>
      <c r="T10" s="19">
        <v>0</v>
      </c>
      <c r="U10" s="19">
        <v>0</v>
      </c>
      <c r="V10" s="19">
        <v>0</v>
      </c>
      <c r="W10" s="18">
        <f>SUM(Q10:V10)</f>
        <v>1500</v>
      </c>
      <c r="X10" s="19">
        <v>1500</v>
      </c>
      <c r="Y10" s="18">
        <f>W10-X10</f>
        <v>0</v>
      </c>
      <c r="Z10" s="52"/>
      <c r="AA10" s="50"/>
      <c r="AB10" s="128">
        <f>O10-X10+AA10</f>
        <v>9654</v>
      </c>
      <c r="AC10" s="289" t="s">
        <v>211</v>
      </c>
      <c r="AD10" s="19"/>
      <c r="AE10" s="19"/>
      <c r="AF10" s="33"/>
      <c r="AG10" s="19" t="s">
        <v>52</v>
      </c>
    </row>
    <row r="11" spans="1:33" ht="15" customHeight="1">
      <c r="B11" s="80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2"/>
      <c r="P11" s="43"/>
      <c r="Q11" s="44"/>
      <c r="R11" s="44"/>
      <c r="S11" s="45"/>
      <c r="T11" s="45"/>
      <c r="U11" s="45"/>
      <c r="V11" s="45"/>
      <c r="W11" s="46"/>
      <c r="X11" s="47"/>
      <c r="Y11" s="44"/>
      <c r="Z11" s="42"/>
      <c r="AA11" s="99"/>
      <c r="AB11" s="119"/>
      <c r="AC11" s="19"/>
      <c r="AD11" s="45"/>
      <c r="AE11" s="48"/>
      <c r="AF11" s="102"/>
      <c r="AG11" s="48"/>
    </row>
    <row r="12" spans="1:33" ht="14.25" customHeight="1">
      <c r="A12" s="15">
        <v>2</v>
      </c>
      <c r="B12" s="79" t="s">
        <v>67</v>
      </c>
      <c r="C12" s="81" t="s">
        <v>50</v>
      </c>
      <c r="D12" s="74">
        <v>10500</v>
      </c>
      <c r="E12" s="74">
        <f>ROUNDDOWN((D12/F4),)</f>
        <v>338</v>
      </c>
      <c r="F12" s="74">
        <f>ROUNDDOWN((D12/F4/9),)</f>
        <v>37</v>
      </c>
      <c r="G12" s="74">
        <v>28</v>
      </c>
      <c r="H12" s="74">
        <v>0</v>
      </c>
      <c r="I12" s="74">
        <v>4</v>
      </c>
      <c r="J12" s="74">
        <v>0</v>
      </c>
      <c r="K12" s="74">
        <f>SUM(G12:J12)</f>
        <v>32</v>
      </c>
      <c r="L12" s="16">
        <v>0</v>
      </c>
      <c r="M12" s="19">
        <f>IF(K12=F4,D12,K12*E12)</f>
        <v>10816</v>
      </c>
      <c r="N12" s="16">
        <f>F12*L12</f>
        <v>0</v>
      </c>
      <c r="O12" s="108">
        <f>+M12+N12</f>
        <v>10816</v>
      </c>
      <c r="P12" s="17">
        <v>45925</v>
      </c>
      <c r="Q12" s="18">
        <v>2000</v>
      </c>
      <c r="R12" s="18">
        <v>0</v>
      </c>
      <c r="S12" s="19">
        <v>0</v>
      </c>
      <c r="T12" s="19">
        <v>0</v>
      </c>
      <c r="U12" s="19">
        <v>0</v>
      </c>
      <c r="V12" s="19">
        <v>0</v>
      </c>
      <c r="W12" s="18">
        <f>SUM(Q12:V12)</f>
        <v>2000</v>
      </c>
      <c r="X12" s="19">
        <v>2000</v>
      </c>
      <c r="Y12" s="18">
        <f>W12-X12</f>
        <v>0</v>
      </c>
      <c r="Z12" s="52"/>
      <c r="AA12" s="50"/>
      <c r="AB12" s="18">
        <f>O12-X12+AA12</f>
        <v>8816</v>
      </c>
      <c r="AC12" s="101"/>
      <c r="AD12" s="19"/>
      <c r="AE12" s="19"/>
      <c r="AF12" s="33"/>
      <c r="AG12" s="19" t="s">
        <v>52</v>
      </c>
    </row>
    <row r="13" spans="1:33" ht="14.25" customHeight="1">
      <c r="A13" s="16">
        <v>3</v>
      </c>
      <c r="B13" s="79" t="s">
        <v>68</v>
      </c>
      <c r="C13" s="81" t="s">
        <v>50</v>
      </c>
      <c r="D13" s="74">
        <v>10500</v>
      </c>
      <c r="E13" s="74">
        <f>ROUNDDOWN((D13/F4),)</f>
        <v>338</v>
      </c>
      <c r="F13" s="74">
        <f>ROUNDDOWN((D13/F4/9),)</f>
        <v>37</v>
      </c>
      <c r="G13" s="74">
        <v>27</v>
      </c>
      <c r="H13" s="74">
        <v>0</v>
      </c>
      <c r="I13" s="74">
        <v>4</v>
      </c>
      <c r="J13" s="74">
        <v>0</v>
      </c>
      <c r="K13" s="74">
        <f>SUM(G13:J13)</f>
        <v>31</v>
      </c>
      <c r="L13" s="16">
        <v>0</v>
      </c>
      <c r="M13" s="19">
        <f>IF(K13=F4,D13,K13*E13)</f>
        <v>10500</v>
      </c>
      <c r="N13" s="16">
        <f>F13*L13</f>
        <v>0</v>
      </c>
      <c r="O13" s="110">
        <f>+M13+N13</f>
        <v>10500</v>
      </c>
      <c r="P13" s="17" t="s">
        <v>51</v>
      </c>
      <c r="Q13" s="18">
        <v>0</v>
      </c>
      <c r="R13" s="18">
        <v>0</v>
      </c>
      <c r="S13" s="19">
        <v>0</v>
      </c>
      <c r="T13" s="19">
        <v>0</v>
      </c>
      <c r="U13" s="19">
        <v>0</v>
      </c>
      <c r="V13" s="19">
        <v>0</v>
      </c>
      <c r="W13" s="18">
        <f>SUM(Q13:V13)</f>
        <v>0</v>
      </c>
      <c r="X13" s="19">
        <v>0</v>
      </c>
      <c r="Y13" s="18">
        <f>W13-X13</f>
        <v>0</v>
      </c>
      <c r="Z13" s="52"/>
      <c r="AA13" s="50"/>
      <c r="AB13" s="18">
        <f>O13-X13+AA13</f>
        <v>10500</v>
      </c>
      <c r="AC13" s="101"/>
      <c r="AD13" s="19"/>
      <c r="AE13" s="19"/>
      <c r="AF13" s="33"/>
      <c r="AG13" s="19" t="s">
        <v>52</v>
      </c>
    </row>
    <row r="14" spans="1:33" ht="14.25" customHeight="1">
      <c r="A14" s="16">
        <v>4</v>
      </c>
      <c r="B14" s="79" t="s">
        <v>176</v>
      </c>
      <c r="C14" s="81" t="s">
        <v>50</v>
      </c>
      <c r="D14" s="74">
        <v>10500</v>
      </c>
      <c r="E14" s="74">
        <f>ROUNDDOWN((D14/F4),)</f>
        <v>338</v>
      </c>
      <c r="F14" s="74">
        <f>ROUNDDOWN((D14/F4/9),)</f>
        <v>37</v>
      </c>
      <c r="G14" s="74">
        <v>28</v>
      </c>
      <c r="H14" s="74">
        <v>0</v>
      </c>
      <c r="I14" s="74">
        <v>4</v>
      </c>
      <c r="J14" s="74">
        <v>0</v>
      </c>
      <c r="K14" s="74">
        <f>SUM(G14:J14)</f>
        <v>32</v>
      </c>
      <c r="L14" s="16">
        <v>0</v>
      </c>
      <c r="M14" s="19">
        <f>IF(K14=F4,D14,K14*E14)</f>
        <v>10816</v>
      </c>
      <c r="N14" s="16">
        <f>F14*L14</f>
        <v>0</v>
      </c>
      <c r="O14" s="110">
        <f>+M14+N14</f>
        <v>10816</v>
      </c>
      <c r="P14" s="17" t="s">
        <v>51</v>
      </c>
      <c r="Q14" s="18">
        <v>0</v>
      </c>
      <c r="R14" s="18">
        <v>0</v>
      </c>
      <c r="S14" s="19">
        <v>0</v>
      </c>
      <c r="T14" s="19">
        <v>0</v>
      </c>
      <c r="U14" s="19">
        <v>0</v>
      </c>
      <c r="V14" s="19">
        <v>0</v>
      </c>
      <c r="W14" s="18">
        <f>SUM(Q14:V14)</f>
        <v>0</v>
      </c>
      <c r="X14" s="19">
        <v>0</v>
      </c>
      <c r="Y14" s="18">
        <f>W14-X14</f>
        <v>0</v>
      </c>
      <c r="Z14" s="52"/>
      <c r="AA14" s="50"/>
      <c r="AB14" s="18">
        <f>O14-X14+AA14</f>
        <v>10816</v>
      </c>
      <c r="AC14" s="101"/>
      <c r="AD14" s="19"/>
      <c r="AE14" s="19"/>
      <c r="AF14" s="33"/>
      <c r="AG14" s="19" t="s">
        <v>52</v>
      </c>
    </row>
    <row r="15" spans="1:33" ht="14.25" customHeight="1">
      <c r="A15" s="106"/>
      <c r="B15" s="121"/>
      <c r="C15" s="122"/>
      <c r="D15" s="122"/>
      <c r="E15" s="122"/>
      <c r="F15" s="122"/>
      <c r="G15" s="122"/>
      <c r="H15" s="122"/>
      <c r="I15" s="122"/>
      <c r="J15" s="122"/>
      <c r="K15" s="122"/>
      <c r="L15" s="106"/>
      <c r="M15" s="107"/>
      <c r="N15" s="106"/>
      <c r="O15" s="110"/>
      <c r="P15" s="123"/>
      <c r="Q15" s="119"/>
      <c r="R15" s="119"/>
      <c r="S15" s="113"/>
      <c r="T15" s="113"/>
      <c r="U15" s="113"/>
      <c r="V15" s="113"/>
      <c r="W15" s="46"/>
      <c r="X15" s="47"/>
      <c r="Y15" s="119"/>
      <c r="Z15" s="124"/>
      <c r="AA15" s="125"/>
      <c r="AB15" s="472">
        <f>AB12+AB13+AB14</f>
        <v>30132</v>
      </c>
      <c r="AC15" s="289" t="s">
        <v>211</v>
      </c>
      <c r="AD15" s="113"/>
      <c r="AE15" s="48"/>
      <c r="AF15" s="126"/>
      <c r="AG15" s="48"/>
    </row>
    <row r="16" spans="1:33" ht="14.25" customHeight="1">
      <c r="A16" s="106"/>
      <c r="B16" s="121"/>
      <c r="C16" s="122"/>
      <c r="D16" s="122"/>
      <c r="E16" s="122"/>
      <c r="F16" s="122"/>
      <c r="G16" s="122"/>
      <c r="H16" s="122"/>
      <c r="I16" s="122"/>
      <c r="J16" s="122"/>
      <c r="K16" s="122"/>
      <c r="L16" s="106"/>
      <c r="M16" s="107"/>
      <c r="N16" s="106"/>
      <c r="O16" s="110"/>
      <c r="P16" s="123"/>
      <c r="Q16" s="119"/>
      <c r="R16" s="119"/>
      <c r="S16" s="113"/>
      <c r="T16" s="113"/>
      <c r="U16" s="113"/>
      <c r="V16" s="113"/>
      <c r="W16" s="46"/>
      <c r="X16" s="47"/>
      <c r="Y16" s="119"/>
      <c r="Z16" s="124"/>
      <c r="AA16" s="125"/>
      <c r="AB16" s="119"/>
      <c r="AC16" s="101"/>
      <c r="AD16" s="113"/>
      <c r="AE16" s="48"/>
      <c r="AF16" s="126"/>
      <c r="AG16" s="48"/>
    </row>
    <row r="17" spans="1:33" ht="15" customHeight="1"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109"/>
      <c r="P17" s="11"/>
      <c r="Q17" s="11"/>
      <c r="R17" s="11"/>
      <c r="S17" s="11"/>
      <c r="T17" s="11"/>
      <c r="U17" s="11"/>
      <c r="V17" s="11"/>
      <c r="W17" s="29"/>
      <c r="X17" s="26"/>
      <c r="Y17" s="11"/>
      <c r="Z17" s="40"/>
      <c r="AA17" s="100"/>
      <c r="AB17" s="464"/>
      <c r="AC17" s="19"/>
      <c r="AD17" s="10"/>
      <c r="AE17" s="31"/>
      <c r="AF17" s="41"/>
      <c r="AG17" s="31"/>
    </row>
    <row r="18" spans="1:33" ht="14.25" customHeight="1">
      <c r="A18" s="15">
        <v>5</v>
      </c>
      <c r="B18" s="79" t="s">
        <v>69</v>
      </c>
      <c r="C18" s="81" t="s">
        <v>50</v>
      </c>
      <c r="D18" s="74">
        <v>10500</v>
      </c>
      <c r="E18" s="74">
        <f>ROUNDDOWN((D18/F4),)</f>
        <v>338</v>
      </c>
      <c r="F18" s="74">
        <f>ROUNDDOWN((D18/F4/9),)</f>
        <v>37</v>
      </c>
      <c r="G18" s="82">
        <v>29</v>
      </c>
      <c r="H18" s="74">
        <v>0</v>
      </c>
      <c r="I18" s="74">
        <v>4</v>
      </c>
      <c r="J18" s="74">
        <v>0</v>
      </c>
      <c r="K18" s="83">
        <f>SUM(G18:J18)</f>
        <v>33</v>
      </c>
      <c r="L18" s="16">
        <v>0</v>
      </c>
      <c r="M18" s="19">
        <f>IF(K18=F4,D18,K18*E18)</f>
        <v>11154</v>
      </c>
      <c r="N18" s="16">
        <f>F18*L18</f>
        <v>0</v>
      </c>
      <c r="O18" s="108">
        <f>+M18+N18</f>
        <v>11154</v>
      </c>
      <c r="P18" s="17" t="s">
        <v>51</v>
      </c>
      <c r="Q18" s="18">
        <v>0</v>
      </c>
      <c r="R18" s="18">
        <v>0</v>
      </c>
      <c r="S18" s="19">
        <v>0</v>
      </c>
      <c r="T18" s="19">
        <v>0</v>
      </c>
      <c r="U18" s="19">
        <v>0</v>
      </c>
      <c r="V18" s="19">
        <v>0</v>
      </c>
      <c r="W18" s="18">
        <f>SUM(Q18:V18)</f>
        <v>0</v>
      </c>
      <c r="X18" s="19">
        <v>0</v>
      </c>
      <c r="Y18" s="18">
        <f>W18-X18</f>
        <v>0</v>
      </c>
      <c r="Z18" s="52"/>
      <c r="AA18" s="50"/>
      <c r="AB18" s="128">
        <f>O18-X18+AA18</f>
        <v>11154</v>
      </c>
      <c r="AC18" s="101" t="s">
        <v>198</v>
      </c>
      <c r="AD18" s="19"/>
      <c r="AE18" s="19"/>
      <c r="AF18" s="33"/>
      <c r="AG18" s="19" t="s">
        <v>52</v>
      </c>
    </row>
    <row r="19" spans="1:33" ht="14.25" customHeight="1">
      <c r="AB19" s="119"/>
      <c r="AC19" s="289"/>
    </row>
    <row r="20" spans="1:33" ht="14.25" customHeight="1">
      <c r="AB20" s="465"/>
    </row>
    <row r="21" spans="1:33" ht="14.25" customHeight="1">
      <c r="O21">
        <f>SUM(O10:O19)</f>
        <v>54440</v>
      </c>
    </row>
    <row r="22" spans="1:33" ht="14.25" customHeight="1"/>
    <row r="23" spans="1:33" ht="14.25" customHeight="1"/>
    <row r="24" spans="1:33" ht="14.25" customHeight="1"/>
    <row r="25" spans="1:33" ht="14.25" customHeight="1"/>
    <row r="26" spans="1:33" ht="14.25" customHeight="1"/>
    <row r="27" spans="1:33" ht="14.25" customHeight="1"/>
    <row r="28" spans="1:33" ht="14.25" customHeight="1"/>
    <row r="29" spans="1:33" ht="14.25" customHeight="1"/>
    <row r="30" spans="1:33" ht="14.25" customHeight="1"/>
    <row r="31" spans="1:33" ht="14.25" customHeight="1"/>
    <row r="32" spans="1:3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7">
    <mergeCell ref="A7:A8"/>
    <mergeCell ref="B7:B8"/>
    <mergeCell ref="C7:C8"/>
    <mergeCell ref="D7:D8"/>
    <mergeCell ref="L7:L9"/>
    <mergeCell ref="M7:M9"/>
    <mergeCell ref="N7:N9"/>
    <mergeCell ref="O7:O9"/>
    <mergeCell ref="P8:Q8"/>
    <mergeCell ref="R8:S8"/>
    <mergeCell ref="P7:W7"/>
    <mergeCell ref="T8:T9"/>
    <mergeCell ref="U8:U9"/>
    <mergeCell ref="V8:V9"/>
    <mergeCell ref="W8:W9"/>
    <mergeCell ref="X8:X9"/>
    <mergeCell ref="AF7:AF9"/>
    <mergeCell ref="AG7:AG9"/>
    <mergeCell ref="AA8:AA9"/>
    <mergeCell ref="AD8:AE8"/>
    <mergeCell ref="Y8:Y9"/>
    <mergeCell ref="Z8:Z9"/>
    <mergeCell ref="AB7:AB9"/>
    <mergeCell ref="AC8:AC9"/>
    <mergeCell ref="X7:Y7"/>
    <mergeCell ref="Z7:AA7"/>
    <mergeCell ref="AC7:AE7"/>
  </mergeCells>
  <dataValidations count="2">
    <dataValidation type="list" allowBlank="1" showErrorMessage="1" sqref="AG10:AG16 AG18" xr:uid="{00000000-0002-0000-0400-000000000000}">
      <formula1>"Working,Left"</formula1>
    </dataValidation>
    <dataValidation type="list" allowBlank="1" showErrorMessage="1" sqref="AD10:AD16 AD18" xr:uid="{00000000-0002-0000-0400-000001000000}">
      <formula1>"Own,Other"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7030A0"/>
  </sheetPr>
  <dimension ref="A1:AJ1002"/>
  <sheetViews>
    <sheetView topLeftCell="H1" workbookViewId="0">
      <selection activeCell="Z21" sqref="Z21"/>
    </sheetView>
  </sheetViews>
  <sheetFormatPr defaultColWidth="14.44140625" defaultRowHeight="15" customHeight="1"/>
  <cols>
    <col min="1" max="1" width="2" customWidth="1"/>
    <col min="2" max="2" width="4.6640625" customWidth="1"/>
    <col min="3" max="3" width="10.109375" customWidth="1"/>
    <col min="4" max="4" width="5.5546875" customWidth="1"/>
    <col min="5" max="5" width="6.6640625" customWidth="1"/>
    <col min="6" max="6" width="5.109375" customWidth="1"/>
    <col min="7" max="7" width="6" customWidth="1"/>
    <col min="8" max="8" width="3.33203125" customWidth="1"/>
    <col min="9" max="9" width="4.33203125" customWidth="1"/>
    <col min="10" max="10" width="5.33203125" customWidth="1"/>
    <col min="11" max="11" width="3.5546875" customWidth="1"/>
    <col min="12" max="12" width="4.5546875" customWidth="1"/>
    <col min="13" max="13" width="6.44140625" customWidth="1"/>
    <col min="14" max="14" width="7.5546875" customWidth="1"/>
    <col min="15" max="15" width="6.33203125" customWidth="1"/>
    <col min="16" max="16" width="5" customWidth="1"/>
    <col min="17" max="17" width="7.5546875" customWidth="1"/>
    <col min="18" max="18" width="6.33203125" customWidth="1"/>
    <col min="19" max="19" width="10.44140625" bestFit="1" customWidth="1"/>
    <col min="20" max="20" width="8.33203125" bestFit="1" customWidth="1"/>
    <col min="21" max="21" width="5" customWidth="1"/>
    <col min="22" max="22" width="4.88671875" customWidth="1"/>
    <col min="23" max="23" width="6.5546875" bestFit="1" customWidth="1"/>
    <col min="24" max="24" width="4.6640625" customWidth="1"/>
    <col min="25" max="25" width="6.6640625" customWidth="1"/>
    <col min="26" max="26" width="7.5546875" bestFit="1" customWidth="1"/>
    <col min="27" max="27" width="7.33203125" customWidth="1"/>
    <col min="28" max="28" width="7.5546875" bestFit="1" customWidth="1"/>
    <col min="29" max="29" width="8.33203125" customWidth="1"/>
    <col min="30" max="30" width="6.109375" customWidth="1"/>
    <col min="31" max="32" width="10.6640625" customWidth="1"/>
    <col min="33" max="36" width="8.6640625" customWidth="1"/>
  </cols>
  <sheetData>
    <row r="1" spans="1:36" ht="18.75" customHeight="1">
      <c r="A1" s="1"/>
      <c r="B1" s="1" t="s">
        <v>0</v>
      </c>
    </row>
    <row r="2" spans="1:36" ht="14.25" customHeight="1"/>
    <row r="3" spans="1:36" ht="15.75" customHeight="1">
      <c r="B3" s="2" t="s">
        <v>1</v>
      </c>
      <c r="C3" s="2"/>
      <c r="D3" s="3" t="s">
        <v>2</v>
      </c>
    </row>
    <row r="4" spans="1:36" ht="14.25" customHeight="1">
      <c r="B4" s="2" t="s">
        <v>3</v>
      </c>
      <c r="C4" s="2"/>
      <c r="D4" s="282" t="s">
        <v>196</v>
      </c>
      <c r="F4" s="5">
        <v>31</v>
      </c>
    </row>
    <row r="5" spans="1:36" ht="15" customHeight="1">
      <c r="B5" s="2" t="s">
        <v>4</v>
      </c>
      <c r="C5" s="2"/>
      <c r="D5" s="6" t="s">
        <v>5</v>
      </c>
    </row>
    <row r="6" spans="1:36" ht="14.25" customHeight="1">
      <c r="R6" s="603"/>
      <c r="S6" s="604"/>
      <c r="T6" s="584"/>
    </row>
    <row r="7" spans="1:36" ht="15" customHeight="1">
      <c r="A7" s="622" t="s">
        <v>6</v>
      </c>
      <c r="B7" s="625" t="s">
        <v>7</v>
      </c>
      <c r="C7" s="628" t="s">
        <v>8</v>
      </c>
      <c r="D7" s="631" t="s">
        <v>9</v>
      </c>
      <c r="E7" s="620" t="s">
        <v>10</v>
      </c>
      <c r="F7" s="620" t="s">
        <v>11</v>
      </c>
      <c r="G7" s="620" t="s">
        <v>12</v>
      </c>
      <c r="H7" s="633" t="s">
        <v>13</v>
      </c>
      <c r="I7" s="592"/>
      <c r="J7" s="592"/>
      <c r="K7" s="592"/>
      <c r="L7" s="592"/>
      <c r="M7" s="593"/>
      <c r="N7" s="596" t="s">
        <v>14</v>
      </c>
      <c r="O7" s="596" t="s">
        <v>15</v>
      </c>
      <c r="P7" s="596" t="s">
        <v>16</v>
      </c>
      <c r="Q7" s="605" t="s">
        <v>17</v>
      </c>
      <c r="R7" s="596" t="s">
        <v>18</v>
      </c>
      <c r="S7" s="636" t="s">
        <v>19</v>
      </c>
      <c r="T7" s="592"/>
      <c r="U7" s="8"/>
      <c r="V7" s="8"/>
      <c r="W7" s="8"/>
      <c r="X7" s="8"/>
      <c r="Y7" s="8"/>
      <c r="Z7" s="9"/>
      <c r="AA7" s="609" t="s">
        <v>20</v>
      </c>
      <c r="AB7" s="593"/>
      <c r="AC7" s="608" t="s">
        <v>21</v>
      </c>
      <c r="AD7" s="593"/>
      <c r="AE7" s="596" t="s">
        <v>22</v>
      </c>
      <c r="AF7" s="633" t="s">
        <v>23</v>
      </c>
      <c r="AG7" s="592"/>
      <c r="AH7" s="593"/>
      <c r="AI7" s="7"/>
      <c r="AJ7" s="580" t="s">
        <v>24</v>
      </c>
    </row>
    <row r="8" spans="1:36" ht="29.25" customHeight="1">
      <c r="A8" s="623"/>
      <c r="B8" s="626"/>
      <c r="C8" s="629"/>
      <c r="D8" s="578"/>
      <c r="E8" s="597"/>
      <c r="F8" s="597"/>
      <c r="G8" s="597"/>
      <c r="H8" s="632" t="s">
        <v>25</v>
      </c>
      <c r="I8" s="632" t="s">
        <v>26</v>
      </c>
      <c r="J8" s="632" t="s">
        <v>27</v>
      </c>
      <c r="K8" s="632" t="s">
        <v>28</v>
      </c>
      <c r="L8" s="632" t="s">
        <v>29</v>
      </c>
      <c r="M8" s="632" t="s">
        <v>30</v>
      </c>
      <c r="N8" s="597"/>
      <c r="O8" s="597"/>
      <c r="P8" s="597"/>
      <c r="Q8" s="606"/>
      <c r="R8" s="597"/>
      <c r="S8" s="583" t="s">
        <v>31</v>
      </c>
      <c r="T8" s="584"/>
      <c r="U8" s="583" t="s">
        <v>32</v>
      </c>
      <c r="V8" s="584"/>
      <c r="W8" s="585" t="s">
        <v>33</v>
      </c>
      <c r="X8" s="585" t="s">
        <v>34</v>
      </c>
      <c r="Y8" s="585" t="s">
        <v>35</v>
      </c>
      <c r="Z8" s="637" t="s">
        <v>36</v>
      </c>
      <c r="AA8" s="589" t="s">
        <v>37</v>
      </c>
      <c r="AB8" s="585" t="s">
        <v>38</v>
      </c>
      <c r="AC8" s="585" t="s">
        <v>39</v>
      </c>
      <c r="AD8" s="585" t="s">
        <v>40</v>
      </c>
      <c r="AE8" s="597"/>
      <c r="AF8" s="632" t="s">
        <v>41</v>
      </c>
      <c r="AG8" s="635" t="s">
        <v>42</v>
      </c>
      <c r="AH8" s="584"/>
      <c r="AI8" s="585" t="s">
        <v>43</v>
      </c>
      <c r="AJ8" s="581"/>
    </row>
    <row r="9" spans="1:36" ht="15" customHeight="1">
      <c r="A9" s="624"/>
      <c r="B9" s="627"/>
      <c r="C9" s="630"/>
      <c r="D9" s="599"/>
      <c r="E9" s="586"/>
      <c r="F9" s="586"/>
      <c r="G9" s="586"/>
      <c r="H9" s="586"/>
      <c r="I9" s="586"/>
      <c r="J9" s="586"/>
      <c r="K9" s="586"/>
      <c r="L9" s="586"/>
      <c r="M9" s="586"/>
      <c r="N9" s="586"/>
      <c r="O9" s="586"/>
      <c r="P9" s="586"/>
      <c r="Q9" s="634"/>
      <c r="R9" s="586"/>
      <c r="S9" s="12" t="s">
        <v>44</v>
      </c>
      <c r="T9" s="12" t="s">
        <v>45</v>
      </c>
      <c r="U9" s="12" t="s">
        <v>46</v>
      </c>
      <c r="V9" s="12" t="s">
        <v>47</v>
      </c>
      <c r="W9" s="586"/>
      <c r="X9" s="586"/>
      <c r="Y9" s="586"/>
      <c r="Z9" s="582"/>
      <c r="AA9" s="590"/>
      <c r="AB9" s="586"/>
      <c r="AC9" s="586"/>
      <c r="AD9" s="586"/>
      <c r="AE9" s="586"/>
      <c r="AF9" s="586"/>
      <c r="AG9" s="13"/>
      <c r="AH9" s="14" t="s">
        <v>48</v>
      </c>
      <c r="AI9" s="586"/>
      <c r="AJ9" s="582"/>
    </row>
    <row r="10" spans="1:36" ht="17.25" customHeight="1">
      <c r="A10" s="603"/>
      <c r="B10" s="621"/>
      <c r="C10" s="604"/>
      <c r="D10" s="604"/>
      <c r="E10" s="604"/>
      <c r="F10" s="604"/>
      <c r="G10" s="604"/>
      <c r="H10" s="604"/>
      <c r="I10" s="604"/>
      <c r="J10" s="604"/>
      <c r="K10" s="604"/>
      <c r="L10" s="604"/>
      <c r="M10" s="604"/>
      <c r="N10" s="621"/>
      <c r="O10" s="604"/>
      <c r="P10" s="621"/>
      <c r="Q10" s="621"/>
      <c r="R10" s="604"/>
      <c r="S10" s="604"/>
      <c r="T10" s="604"/>
      <c r="U10" s="604"/>
      <c r="V10" s="604"/>
    </row>
    <row r="11" spans="1:36" s="479" customFormat="1" ht="18" customHeight="1">
      <c r="A11" s="473">
        <v>1</v>
      </c>
      <c r="B11" s="474">
        <v>1</v>
      </c>
      <c r="C11" s="475" t="s">
        <v>49</v>
      </c>
      <c r="D11" s="476" t="s">
        <v>50</v>
      </c>
      <c r="E11" s="476">
        <v>15500</v>
      </c>
      <c r="F11" s="476">
        <f>ROUNDDOWN((E11/F4),)</f>
        <v>500</v>
      </c>
      <c r="G11" s="476">
        <f>ROUNDDOWN((E11/F4/9),)</f>
        <v>55</v>
      </c>
      <c r="H11" s="476">
        <v>19</v>
      </c>
      <c r="I11" s="476">
        <v>3</v>
      </c>
      <c r="J11" s="476">
        <v>0</v>
      </c>
      <c r="K11" s="476">
        <v>0</v>
      </c>
      <c r="L11" s="476">
        <v>0</v>
      </c>
      <c r="M11" s="473">
        <f>SUM(H11:L11)</f>
        <v>22</v>
      </c>
      <c r="N11" s="474">
        <v>0</v>
      </c>
      <c r="O11" s="477">
        <f>IF(M11=F4,E11,M11*F11)</f>
        <v>11000</v>
      </c>
      <c r="P11" s="474">
        <f>40*N11</f>
        <v>0</v>
      </c>
      <c r="Q11" s="478">
        <f>+O11+P11</f>
        <v>11000</v>
      </c>
      <c r="S11" s="480" t="s">
        <v>51</v>
      </c>
      <c r="T11" s="481">
        <v>0</v>
      </c>
      <c r="U11" s="481">
        <v>0</v>
      </c>
      <c r="V11" s="481">
        <v>0</v>
      </c>
      <c r="W11" s="481">
        <v>0</v>
      </c>
      <c r="X11" s="481">
        <v>0</v>
      </c>
      <c r="Y11" s="481">
        <v>0</v>
      </c>
      <c r="Z11" s="481">
        <f>SUM(T11:Y11)+T14</f>
        <v>0</v>
      </c>
      <c r="AA11" s="481">
        <v>0</v>
      </c>
      <c r="AB11" s="481">
        <f>Z11-AA11</f>
        <v>0</v>
      </c>
      <c r="AD11" s="482"/>
      <c r="AE11" s="483">
        <f>Q11+R11-AA11+AD11</f>
        <v>11000</v>
      </c>
      <c r="AF11" s="444"/>
      <c r="AG11" s="482"/>
      <c r="AH11" s="482"/>
      <c r="AI11" s="482"/>
      <c r="AJ11" s="476" t="s">
        <v>52</v>
      </c>
    </row>
    <row r="12" spans="1:36" s="479" customFormat="1" ht="18" customHeight="1">
      <c r="A12" s="136"/>
      <c r="B12" s="506"/>
      <c r="C12" s="507" t="s">
        <v>214</v>
      </c>
      <c r="D12" s="136"/>
      <c r="E12" s="136"/>
      <c r="F12" s="476">
        <v>500</v>
      </c>
      <c r="G12" s="476">
        <f>ROUNDDOWN((E12/F4/9),)</f>
        <v>0</v>
      </c>
      <c r="H12" s="476">
        <v>5</v>
      </c>
      <c r="I12" s="476">
        <v>1</v>
      </c>
      <c r="J12" s="476">
        <v>0</v>
      </c>
      <c r="K12" s="476">
        <v>0</v>
      </c>
      <c r="L12" s="476">
        <v>0</v>
      </c>
      <c r="M12" s="473">
        <f>SUM(H12:L12)</f>
        <v>6</v>
      </c>
      <c r="N12" s="474">
        <v>0</v>
      </c>
      <c r="O12" s="477">
        <f>IF(M12=F5,E12,M12*F12)</f>
        <v>3000</v>
      </c>
      <c r="P12" s="474">
        <f>40*N12</f>
        <v>0</v>
      </c>
      <c r="Q12" s="478">
        <f>+O12+P12</f>
        <v>3000</v>
      </c>
      <c r="S12" s="480" t="s">
        <v>51</v>
      </c>
      <c r="T12" s="481">
        <v>0</v>
      </c>
      <c r="U12" s="481">
        <v>0</v>
      </c>
      <c r="V12" s="481">
        <v>0</v>
      </c>
      <c r="W12" s="481">
        <v>0</v>
      </c>
      <c r="X12" s="481">
        <v>0</v>
      </c>
      <c r="Y12" s="481">
        <v>0</v>
      </c>
      <c r="Z12" s="481">
        <f>SUM(T12:Y12)</f>
        <v>0</v>
      </c>
      <c r="AA12" s="481">
        <v>0</v>
      </c>
      <c r="AB12" s="481">
        <f>Z12-AA12</f>
        <v>0</v>
      </c>
      <c r="AD12" s="482"/>
      <c r="AE12" s="483">
        <f>Q12+R12-AA12+AD12</f>
        <v>3000</v>
      </c>
      <c r="AF12" s="444"/>
      <c r="AG12" s="511"/>
      <c r="AH12" s="511"/>
      <c r="AI12" s="511"/>
      <c r="AJ12" s="136"/>
    </row>
    <row r="13" spans="1:36" s="479" customFormat="1" ht="18" customHeight="1">
      <c r="A13" s="136"/>
      <c r="B13" s="506"/>
      <c r="C13" s="507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506"/>
      <c r="O13" s="136"/>
      <c r="P13" s="506"/>
      <c r="Q13" s="508"/>
      <c r="S13" s="509"/>
      <c r="T13" s="510"/>
      <c r="U13" s="510"/>
      <c r="V13" s="510"/>
      <c r="W13" s="510"/>
      <c r="X13" s="510"/>
      <c r="Y13" s="510"/>
      <c r="Z13" s="510"/>
      <c r="AA13" s="510"/>
      <c r="AB13" s="510"/>
      <c r="AD13" s="511"/>
      <c r="AE13" s="512">
        <f>AE12+AE11</f>
        <v>14000</v>
      </c>
      <c r="AF13" s="444" t="s">
        <v>215</v>
      </c>
      <c r="AG13" s="511"/>
      <c r="AH13" s="511"/>
      <c r="AI13" s="511"/>
      <c r="AJ13" s="136"/>
    </row>
    <row r="14" spans="1:36" ht="14.25" customHeight="1">
      <c r="S14" s="120"/>
      <c r="AE14" s="69"/>
      <c r="AF14" s="21"/>
    </row>
    <row r="15" spans="1:36" ht="15" customHeight="1">
      <c r="A15" s="15">
        <v>1</v>
      </c>
      <c r="B15" s="71">
        <v>2</v>
      </c>
      <c r="C15" s="70" t="s">
        <v>205</v>
      </c>
      <c r="D15" s="16" t="s">
        <v>50</v>
      </c>
      <c r="E15" s="16"/>
      <c r="F15" s="16">
        <v>500</v>
      </c>
      <c r="G15" s="16">
        <f>ROUNDDOWN((E15/F4/9),)</f>
        <v>0</v>
      </c>
      <c r="H15" s="16">
        <v>7</v>
      </c>
      <c r="I15" s="16">
        <v>1</v>
      </c>
      <c r="J15" s="16">
        <v>0</v>
      </c>
      <c r="K15" s="16">
        <v>0</v>
      </c>
      <c r="L15" s="16">
        <v>0</v>
      </c>
      <c r="M15" s="15">
        <f>SUM(H15:L15)</f>
        <v>8</v>
      </c>
      <c r="N15" s="68">
        <v>0</v>
      </c>
      <c r="O15" s="22">
        <f>IF(M15=F6,E15,M15*F15)</f>
        <v>4000</v>
      </c>
      <c r="P15" s="68">
        <f>40*N15</f>
        <v>0</v>
      </c>
      <c r="Q15" s="111">
        <f>+O15+P15</f>
        <v>4000</v>
      </c>
      <c r="S15" s="17">
        <v>45966</v>
      </c>
      <c r="T15" s="18">
        <v>2000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50">
        <f>SUM(T15:Y15)+T16</f>
        <v>2000</v>
      </c>
      <c r="AA15" s="18">
        <v>2000</v>
      </c>
      <c r="AB15" s="18">
        <f>Z15-AA15</f>
        <v>0</v>
      </c>
      <c r="AC15" t="s">
        <v>206</v>
      </c>
      <c r="AD15" s="19">
        <v>100</v>
      </c>
      <c r="AE15" s="128">
        <f>Q15+R15-AA15+AD15</f>
        <v>2100</v>
      </c>
      <c r="AF15" s="289" t="s">
        <v>211</v>
      </c>
      <c r="AG15" s="19"/>
      <c r="AH15" s="19"/>
      <c r="AI15" s="19"/>
      <c r="AJ15" s="16" t="s">
        <v>52</v>
      </c>
    </row>
    <row r="16" spans="1:36" ht="14.25" customHeight="1">
      <c r="I16" s="11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40">
    <mergeCell ref="AF7:AH7"/>
    <mergeCell ref="AG8:AH8"/>
    <mergeCell ref="R6:T6"/>
    <mergeCell ref="S7:T7"/>
    <mergeCell ref="AA7:AB7"/>
    <mergeCell ref="AC7:AD7"/>
    <mergeCell ref="AE7:AE9"/>
    <mergeCell ref="X8:X9"/>
    <mergeCell ref="Y8:Y9"/>
    <mergeCell ref="Z8:Z9"/>
    <mergeCell ref="AA8:AA9"/>
    <mergeCell ref="AB8:AB9"/>
    <mergeCell ref="AC8:AC9"/>
    <mergeCell ref="AD8:AD9"/>
    <mergeCell ref="AJ7:AJ9"/>
    <mergeCell ref="AF8:AF9"/>
    <mergeCell ref="AI8:AI9"/>
    <mergeCell ref="G7:G9"/>
    <mergeCell ref="H7:M7"/>
    <mergeCell ref="H8:H9"/>
    <mergeCell ref="I8:I9"/>
    <mergeCell ref="J8:J9"/>
    <mergeCell ref="K8:K9"/>
    <mergeCell ref="L8:L9"/>
    <mergeCell ref="M8:M9"/>
    <mergeCell ref="N7:N9"/>
    <mergeCell ref="O7:O9"/>
    <mergeCell ref="P7:P9"/>
    <mergeCell ref="Q7:Q9"/>
    <mergeCell ref="W8:W9"/>
    <mergeCell ref="F7:F9"/>
    <mergeCell ref="R7:R9"/>
    <mergeCell ref="A10:V10"/>
    <mergeCell ref="S8:T8"/>
    <mergeCell ref="U8:V8"/>
    <mergeCell ref="A7:A9"/>
    <mergeCell ref="B7:B9"/>
    <mergeCell ref="C7:C9"/>
    <mergeCell ref="D7:D9"/>
    <mergeCell ref="E7:E9"/>
  </mergeCells>
  <dataValidations disablePrompts="1" count="1">
    <dataValidation type="list" allowBlank="1" showErrorMessage="1" sqref="AG15 AG11:AG13" xr:uid="{00000000-0002-0000-0000-000000000000}">
      <formula1>"Own,Other"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7030A0"/>
  </sheetPr>
  <dimension ref="A1:AI999"/>
  <sheetViews>
    <sheetView topLeftCell="P1" workbookViewId="0">
      <selection activeCell="AE11" sqref="AE11"/>
    </sheetView>
  </sheetViews>
  <sheetFormatPr defaultColWidth="14.44140625" defaultRowHeight="15" customHeight="1"/>
  <cols>
    <col min="1" max="1" width="4" customWidth="1"/>
    <col min="2" max="2" width="10.77734375" customWidth="1"/>
    <col min="3" max="3" width="10.109375" bestFit="1" customWidth="1"/>
    <col min="4" max="4" width="8.44140625" customWidth="1"/>
    <col min="5" max="5" width="4.88671875" customWidth="1"/>
    <col min="6" max="6" width="6.109375" customWidth="1"/>
    <col min="7" max="7" width="3.6640625" customWidth="1"/>
    <col min="8" max="8" width="4.109375" bestFit="1" customWidth="1"/>
    <col min="9" max="9" width="5.109375" bestFit="1" customWidth="1"/>
    <col min="10" max="10" width="3.44140625" bestFit="1" customWidth="1"/>
    <col min="11" max="11" width="6.44140625" bestFit="1" customWidth="1"/>
    <col min="12" max="12" width="10.109375" customWidth="1"/>
    <col min="13" max="13" width="4" bestFit="1" customWidth="1"/>
    <col min="14" max="14" width="6" bestFit="1" customWidth="1"/>
    <col min="15" max="15" width="11.33203125" bestFit="1" customWidth="1"/>
    <col min="16" max="16" width="6" bestFit="1" customWidth="1"/>
    <col min="17" max="17" width="8.6640625" customWidth="1"/>
    <col min="18" max="18" width="10.44140625" bestFit="1" customWidth="1"/>
    <col min="19" max="19" width="8.33203125" bestFit="1" customWidth="1"/>
    <col min="20" max="20" width="7.5546875" customWidth="1"/>
    <col min="21" max="21" width="7.6640625" customWidth="1"/>
    <col min="22" max="22" width="7" customWidth="1"/>
    <col min="23" max="23" width="6.6640625" customWidth="1"/>
    <col min="24" max="24" width="11.5546875" customWidth="1"/>
    <col min="25" max="25" width="11.109375" customWidth="1"/>
    <col min="26" max="26" width="8.6640625" customWidth="1"/>
    <col min="27" max="27" width="9" customWidth="1"/>
    <col min="28" max="28" width="10" bestFit="1" customWidth="1"/>
    <col min="29" max="30" width="8.6640625" customWidth="1"/>
    <col min="31" max="31" width="10.5546875" bestFit="1" customWidth="1"/>
    <col min="32" max="35" width="8.6640625" customWidth="1"/>
  </cols>
  <sheetData>
    <row r="1" spans="1:35" ht="18.75" customHeight="1">
      <c r="A1" s="1"/>
      <c r="B1" s="1" t="s">
        <v>0</v>
      </c>
    </row>
    <row r="2" spans="1:35" ht="14.25" customHeight="1"/>
    <row r="3" spans="1:35" ht="15.75" customHeight="1">
      <c r="B3" s="2" t="s">
        <v>1</v>
      </c>
      <c r="C3" s="2"/>
      <c r="D3" s="3"/>
    </row>
    <row r="4" spans="1:35" ht="14.25" customHeight="1">
      <c r="B4" s="2" t="s">
        <v>3</v>
      </c>
      <c r="C4" s="2"/>
      <c r="D4" s="4" t="s">
        <v>177</v>
      </c>
      <c r="F4" s="5">
        <v>31</v>
      </c>
    </row>
    <row r="5" spans="1:35" ht="15" customHeight="1">
      <c r="B5" s="2" t="s">
        <v>4</v>
      </c>
      <c r="C5" s="2"/>
      <c r="D5" s="6" t="s">
        <v>151</v>
      </c>
    </row>
    <row r="6" spans="1:35" ht="14.25" customHeight="1" thickBot="1">
      <c r="U6" s="603" t="s">
        <v>59</v>
      </c>
      <c r="V6" s="604"/>
      <c r="W6" s="584"/>
    </row>
    <row r="7" spans="1:35" ht="15" customHeight="1">
      <c r="A7" s="600" t="s">
        <v>54</v>
      </c>
      <c r="B7" s="600" t="s">
        <v>8</v>
      </c>
      <c r="C7" s="602" t="s">
        <v>9</v>
      </c>
      <c r="D7" s="602" t="s">
        <v>10</v>
      </c>
      <c r="E7" s="16"/>
      <c r="F7" s="16"/>
      <c r="G7" s="15" t="s">
        <v>13</v>
      </c>
      <c r="H7" s="22"/>
      <c r="I7" s="22"/>
      <c r="J7" s="22"/>
      <c r="K7" s="643" t="s">
        <v>30</v>
      </c>
      <c r="L7" s="638" t="s">
        <v>70</v>
      </c>
      <c r="M7" s="640" t="s">
        <v>132</v>
      </c>
      <c r="N7" s="638" t="s">
        <v>15</v>
      </c>
      <c r="O7" s="638" t="s">
        <v>71</v>
      </c>
      <c r="P7" s="638" t="s">
        <v>133</v>
      </c>
      <c r="Q7" s="646" t="s">
        <v>56</v>
      </c>
      <c r="R7" s="608" t="s">
        <v>19</v>
      </c>
      <c r="S7" s="592"/>
      <c r="T7" s="592"/>
      <c r="U7" s="592"/>
      <c r="V7" s="592"/>
      <c r="W7" s="592"/>
      <c r="X7" s="592"/>
      <c r="Y7" s="593"/>
      <c r="Z7" s="609" t="s">
        <v>20</v>
      </c>
      <c r="AA7" s="593"/>
      <c r="AB7" s="610" t="s">
        <v>21</v>
      </c>
      <c r="AC7" s="611"/>
      <c r="AD7" s="596" t="s">
        <v>22</v>
      </c>
      <c r="AE7" s="591" t="s">
        <v>23</v>
      </c>
      <c r="AF7" s="592"/>
      <c r="AG7" s="593"/>
      <c r="AH7" s="577" t="s">
        <v>43</v>
      </c>
      <c r="AI7" s="580" t="s">
        <v>24</v>
      </c>
    </row>
    <row r="8" spans="1:35" ht="14.25" customHeight="1">
      <c r="A8" s="601"/>
      <c r="B8" s="601"/>
      <c r="C8" s="601"/>
      <c r="D8" s="601"/>
      <c r="E8" s="27" t="s">
        <v>11</v>
      </c>
      <c r="F8" s="27" t="s">
        <v>12</v>
      </c>
      <c r="G8" s="16" t="s">
        <v>25</v>
      </c>
      <c r="H8" s="16" t="s">
        <v>26</v>
      </c>
      <c r="I8" s="16" t="s">
        <v>27</v>
      </c>
      <c r="J8" s="16" t="s">
        <v>28</v>
      </c>
      <c r="K8" s="644"/>
      <c r="L8" s="639"/>
      <c r="M8" s="641"/>
      <c r="N8" s="639"/>
      <c r="O8" s="639"/>
      <c r="P8" s="638"/>
      <c r="Q8" s="578"/>
      <c r="R8" s="583" t="s">
        <v>31</v>
      </c>
      <c r="S8" s="584"/>
      <c r="T8" s="583" t="s">
        <v>32</v>
      </c>
      <c r="U8" s="584"/>
      <c r="V8" s="585" t="s">
        <v>33</v>
      </c>
      <c r="W8" s="585" t="s">
        <v>34</v>
      </c>
      <c r="X8" s="585" t="s">
        <v>35</v>
      </c>
      <c r="Y8" s="587" t="s">
        <v>36</v>
      </c>
      <c r="Z8" s="589" t="s">
        <v>37</v>
      </c>
      <c r="AA8" s="585" t="s">
        <v>38</v>
      </c>
      <c r="AB8" s="585" t="s">
        <v>39</v>
      </c>
      <c r="AC8" s="585" t="s">
        <v>40</v>
      </c>
      <c r="AD8" s="597"/>
      <c r="AE8" s="598" t="s">
        <v>41</v>
      </c>
      <c r="AF8" s="594" t="s">
        <v>42</v>
      </c>
      <c r="AG8" s="595"/>
      <c r="AH8" s="578"/>
      <c r="AI8" s="581"/>
    </row>
    <row r="9" spans="1:35" ht="15" customHeight="1" thickBot="1">
      <c r="K9" s="645"/>
      <c r="L9" s="639"/>
      <c r="M9" s="642"/>
      <c r="N9" s="639"/>
      <c r="O9" s="639"/>
      <c r="P9" s="638"/>
      <c r="Q9" s="647"/>
      <c r="R9" s="12" t="s">
        <v>44</v>
      </c>
      <c r="S9" s="12" t="s">
        <v>45</v>
      </c>
      <c r="T9" s="12" t="s">
        <v>46</v>
      </c>
      <c r="U9" s="12" t="s">
        <v>47</v>
      </c>
      <c r="V9" s="586"/>
      <c r="W9" s="586"/>
      <c r="X9" s="586"/>
      <c r="Y9" s="588"/>
      <c r="Z9" s="590"/>
      <c r="AA9" s="586"/>
      <c r="AB9" s="586"/>
      <c r="AC9" s="586"/>
      <c r="AD9" s="586"/>
      <c r="AE9" s="599"/>
      <c r="AF9" s="13"/>
      <c r="AG9" s="14" t="s">
        <v>48</v>
      </c>
      <c r="AH9" s="579"/>
      <c r="AI9" s="582"/>
    </row>
    <row r="10" spans="1:35" ht="15" customHeight="1">
      <c r="K10" s="10"/>
      <c r="L10" s="39"/>
      <c r="M10" s="115"/>
      <c r="N10" s="39"/>
      <c r="O10" s="39"/>
      <c r="P10" s="116"/>
      <c r="Q10" s="49"/>
      <c r="R10" s="11"/>
      <c r="S10" s="11"/>
      <c r="T10" s="11"/>
      <c r="U10" s="11"/>
      <c r="V10" s="11"/>
      <c r="W10" s="11"/>
      <c r="X10" s="11"/>
      <c r="Y10" s="29"/>
      <c r="Z10" s="26"/>
      <c r="AA10" s="11"/>
      <c r="AB10" s="40"/>
      <c r="AC10" s="40"/>
      <c r="AD10" s="10"/>
      <c r="AE10" s="30"/>
      <c r="AF10" s="10"/>
      <c r="AG10" s="31"/>
      <c r="AH10" s="41"/>
      <c r="AI10" s="31"/>
    </row>
    <row r="11" spans="1:35" ht="28.8">
      <c r="A11" s="16">
        <v>1</v>
      </c>
      <c r="B11" s="36" t="s">
        <v>72</v>
      </c>
      <c r="C11" s="530" t="s">
        <v>219</v>
      </c>
      <c r="D11" s="16">
        <v>15000</v>
      </c>
      <c r="E11" s="16">
        <f>ROUNDDOWN((D11/F4),)</f>
        <v>483</v>
      </c>
      <c r="F11" s="16">
        <v>45</v>
      </c>
      <c r="G11" s="16">
        <v>11</v>
      </c>
      <c r="H11" s="16">
        <v>1</v>
      </c>
      <c r="I11" s="16">
        <v>0</v>
      </c>
      <c r="J11" s="16">
        <v>0</v>
      </c>
      <c r="K11" s="16">
        <f>SUM(G11:J11)</f>
        <v>12</v>
      </c>
      <c r="L11" s="16">
        <v>0</v>
      </c>
      <c r="M11" s="16">
        <v>0</v>
      </c>
      <c r="N11" s="19">
        <f>IF(K11=F4,D11,K11*E11)</f>
        <v>5796</v>
      </c>
      <c r="O11" s="15">
        <f>F11*L11</f>
        <v>0</v>
      </c>
      <c r="P11" s="103">
        <f>ROUNDDOWN(F11*M11,0)</f>
        <v>0</v>
      </c>
      <c r="Q11" s="68">
        <f>+N11-O11+P11</f>
        <v>5796</v>
      </c>
      <c r="R11" s="17" t="s">
        <v>51</v>
      </c>
      <c r="S11" s="18">
        <v>0</v>
      </c>
      <c r="T11" s="18">
        <v>0</v>
      </c>
      <c r="U11" s="19">
        <v>0</v>
      </c>
      <c r="V11" s="19">
        <v>0</v>
      </c>
      <c r="W11" s="19">
        <v>0</v>
      </c>
      <c r="X11" s="19">
        <v>0</v>
      </c>
      <c r="Y11" s="18">
        <f>SUM(S11:X11)+S12</f>
        <v>0</v>
      </c>
      <c r="Z11" s="19">
        <v>0</v>
      </c>
      <c r="AA11" s="18">
        <f>Y11-Z11</f>
        <v>0</v>
      </c>
      <c r="AB11" s="19" t="s">
        <v>73</v>
      </c>
      <c r="AC11" s="18">
        <v>90</v>
      </c>
      <c r="AD11" s="128">
        <f>Q11-Z11+AC11</f>
        <v>5886</v>
      </c>
      <c r="AE11" s="289" t="s">
        <v>220</v>
      </c>
      <c r="AF11" s="19"/>
      <c r="AG11" s="19"/>
      <c r="AH11" s="33"/>
      <c r="AI11" s="19" t="s">
        <v>52</v>
      </c>
    </row>
    <row r="12" spans="1:35" ht="14.25" customHeight="1"/>
    <row r="13" spans="1:35" ht="14.25" customHeight="1"/>
    <row r="14" spans="1:35" ht="14.25" customHeight="1"/>
    <row r="15" spans="1:35" ht="14.25" customHeight="1"/>
    <row r="16" spans="1:35" ht="14.25" customHeight="1"/>
    <row r="17" spans="10:34" ht="14.25" customHeight="1"/>
    <row r="18" spans="10:34" ht="14.25" customHeight="1">
      <c r="T18" s="73" t="s">
        <v>60</v>
      </c>
    </row>
    <row r="19" spans="10:34" ht="14.25" customHeight="1"/>
    <row r="20" spans="10:34" ht="14.25" customHeight="1"/>
    <row r="21" spans="10:34" ht="14.25" customHeight="1"/>
    <row r="22" spans="10:34" ht="14.25" customHeight="1">
      <c r="J22" s="212" t="s">
        <v>6</v>
      </c>
    </row>
    <row r="23" spans="10:34" ht="14.25" customHeight="1">
      <c r="AH23" s="445" t="s">
        <v>60</v>
      </c>
    </row>
    <row r="24" spans="10:34" ht="14.25" customHeight="1"/>
    <row r="25" spans="10:34" ht="14.25" customHeight="1"/>
    <row r="26" spans="10:34" ht="14.25" customHeight="1"/>
    <row r="27" spans="10:34" ht="14.25" customHeight="1"/>
    <row r="28" spans="10:34" ht="14.25" customHeight="1"/>
    <row r="29" spans="10:34" ht="14.25" customHeight="1"/>
    <row r="30" spans="10:34" ht="14.25" customHeight="1"/>
    <row r="31" spans="10:34" ht="14.25" customHeight="1"/>
    <row r="32" spans="10:3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1">
    <mergeCell ref="AF8:AG8"/>
    <mergeCell ref="R7:Y7"/>
    <mergeCell ref="Z7:AA7"/>
    <mergeCell ref="AB7:AC7"/>
    <mergeCell ref="AD7:AD9"/>
    <mergeCell ref="AH7:AH9"/>
    <mergeCell ref="AI7:AI9"/>
    <mergeCell ref="AE8:AE9"/>
    <mergeCell ref="O7:O9"/>
    <mergeCell ref="Q7:Q9"/>
    <mergeCell ref="R8:S8"/>
    <mergeCell ref="T8:U8"/>
    <mergeCell ref="V8:V9"/>
    <mergeCell ref="W8:W9"/>
    <mergeCell ref="X8:X9"/>
    <mergeCell ref="Y8:Y9"/>
    <mergeCell ref="Z8:Z9"/>
    <mergeCell ref="AA8:AA9"/>
    <mergeCell ref="AB8:AB9"/>
    <mergeCell ref="AC8:AC9"/>
    <mergeCell ref="AE7:AG7"/>
    <mergeCell ref="U6:W6"/>
    <mergeCell ref="A7:A8"/>
    <mergeCell ref="B7:B8"/>
    <mergeCell ref="C7:C8"/>
    <mergeCell ref="D7:D8"/>
    <mergeCell ref="L7:L9"/>
    <mergeCell ref="N7:N9"/>
    <mergeCell ref="P7:P9"/>
    <mergeCell ref="M7:M9"/>
    <mergeCell ref="K7:K9"/>
  </mergeCells>
  <dataValidations count="2">
    <dataValidation type="list" allowBlank="1" showErrorMessage="1" sqref="AI11" xr:uid="{00000000-0002-0000-0600-000000000000}">
      <formula1>"Working,Left"</formula1>
    </dataValidation>
    <dataValidation type="list" allowBlank="1" showErrorMessage="1" sqref="AF11" xr:uid="{00000000-0002-0000-0600-000001000000}">
      <formula1>"Own,Other"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9C3F-6D16-47F7-83CA-D665D321EE94}">
  <sheetPr codeName="Sheet6">
    <tabColor rgb="FF7030A0"/>
  </sheetPr>
  <dimension ref="A1:AQ997"/>
  <sheetViews>
    <sheetView workbookViewId="0">
      <selection activeCell="L23" sqref="L23"/>
    </sheetView>
  </sheetViews>
  <sheetFormatPr defaultColWidth="14.44140625" defaultRowHeight="15" customHeight="1"/>
  <cols>
    <col min="1" max="1" width="4" customWidth="1"/>
    <col min="2" max="2" width="11.109375" customWidth="1"/>
    <col min="3" max="3" width="13.88671875" bestFit="1" customWidth="1"/>
    <col min="4" max="4" width="9.33203125" customWidth="1"/>
    <col min="5" max="5" width="6.6640625" customWidth="1"/>
    <col min="6" max="6" width="4.88671875" customWidth="1"/>
    <col min="7" max="7" width="5.6640625" bestFit="1" customWidth="1"/>
    <col min="8" max="9" width="3.5546875" customWidth="1"/>
    <col min="10" max="10" width="4.44140625" customWidth="1"/>
    <col min="11" max="11" width="3.33203125" customWidth="1"/>
    <col min="12" max="12" width="4.6640625" customWidth="1"/>
    <col min="13" max="13" width="6.44140625" customWidth="1"/>
    <col min="14" max="14" width="5.88671875" bestFit="1" customWidth="1"/>
    <col min="15" max="15" width="6" bestFit="1" customWidth="1"/>
    <col min="16" max="16" width="5.33203125" bestFit="1" customWidth="1"/>
    <col min="17" max="17" width="10.5546875" bestFit="1" customWidth="1"/>
    <col min="18" max="18" width="10.5546875" customWidth="1"/>
    <col min="19" max="19" width="8.33203125" customWidth="1"/>
    <col min="20" max="20" width="7.5546875" hidden="1" customWidth="1"/>
    <col min="21" max="21" width="7.6640625" hidden="1" customWidth="1"/>
    <col min="22" max="22" width="6" hidden="1" customWidth="1"/>
    <col min="23" max="23" width="7.88671875" hidden="1" customWidth="1"/>
    <col min="24" max="24" width="7" hidden="1" customWidth="1"/>
    <col min="25" max="25" width="8.5546875" hidden="1" customWidth="1"/>
    <col min="26" max="26" width="5.33203125" hidden="1" customWidth="1"/>
    <col min="27" max="27" width="7.33203125" customWidth="1"/>
    <col min="28" max="28" width="9" customWidth="1"/>
    <col min="29" max="29" width="7.109375" hidden="1" customWidth="1"/>
    <col min="30" max="30" width="7.44140625" hidden="1" customWidth="1"/>
    <col min="31" max="31" width="8.5546875" bestFit="1" customWidth="1"/>
    <col min="32" max="32" width="16.33203125" customWidth="1"/>
    <col min="33" max="33" width="11.109375" customWidth="1"/>
    <col min="34" max="34" width="11.6640625" customWidth="1"/>
    <col min="35" max="35" width="8.6640625" customWidth="1"/>
    <col min="36" max="36" width="11.88671875" customWidth="1"/>
    <col min="37" max="43" width="8.6640625" customWidth="1"/>
  </cols>
  <sheetData>
    <row r="1" spans="1:43" ht="18.75" customHeight="1">
      <c r="A1" s="1"/>
      <c r="B1" s="1" t="s">
        <v>0</v>
      </c>
    </row>
    <row r="2" spans="1:43" ht="14.25" customHeight="1"/>
    <row r="3" spans="1:43" ht="15.75" customHeight="1">
      <c r="B3" s="2" t="s">
        <v>1</v>
      </c>
      <c r="C3" s="2"/>
      <c r="D3" s="2"/>
      <c r="E3" s="3" t="s">
        <v>53</v>
      </c>
    </row>
    <row r="4" spans="1:43" ht="14.25" customHeight="1">
      <c r="B4" s="2" t="s">
        <v>3</v>
      </c>
      <c r="C4" s="2"/>
      <c r="D4" s="2"/>
      <c r="E4" s="4" t="s">
        <v>196</v>
      </c>
      <c r="G4" s="5">
        <v>31</v>
      </c>
    </row>
    <row r="5" spans="1:43" ht="15" customHeight="1" thickBot="1">
      <c r="B5" s="2" t="s">
        <v>4</v>
      </c>
      <c r="C5" s="2"/>
      <c r="D5" s="2"/>
      <c r="E5" s="6" t="s">
        <v>5</v>
      </c>
    </row>
    <row r="6" spans="1:43" ht="15" customHeight="1">
      <c r="A6" s="600" t="s">
        <v>54</v>
      </c>
      <c r="B6" s="600" t="s">
        <v>8</v>
      </c>
      <c r="C6" s="602" t="s">
        <v>9</v>
      </c>
      <c r="D6" s="648" t="s">
        <v>92</v>
      </c>
      <c r="E6" s="602" t="s">
        <v>10</v>
      </c>
      <c r="F6" s="16"/>
      <c r="G6" s="16"/>
      <c r="H6" s="15" t="s">
        <v>13</v>
      </c>
      <c r="I6" s="22"/>
      <c r="J6" s="22"/>
      <c r="K6" s="22"/>
      <c r="L6" s="22"/>
      <c r="M6" s="23"/>
      <c r="N6" s="596" t="s">
        <v>55</v>
      </c>
      <c r="O6" s="596" t="s">
        <v>15</v>
      </c>
      <c r="P6" s="596" t="s">
        <v>16</v>
      </c>
      <c r="Q6" s="605" t="s">
        <v>56</v>
      </c>
      <c r="R6" s="24" t="s">
        <v>19</v>
      </c>
      <c r="S6" s="24"/>
      <c r="T6" s="24"/>
      <c r="U6" s="24"/>
      <c r="V6" s="24"/>
      <c r="W6" s="24"/>
      <c r="X6" s="24"/>
      <c r="Y6" s="24"/>
      <c r="Z6" s="25"/>
      <c r="AA6" s="609" t="s">
        <v>20</v>
      </c>
      <c r="AB6" s="593"/>
      <c r="AC6" s="610" t="s">
        <v>21</v>
      </c>
      <c r="AD6" s="611"/>
      <c r="AE6" s="596" t="s">
        <v>22</v>
      </c>
      <c r="AF6" s="591" t="s">
        <v>23</v>
      </c>
      <c r="AG6" s="592"/>
      <c r="AH6" s="592"/>
      <c r="AI6" s="650" t="s">
        <v>43</v>
      </c>
      <c r="AJ6" s="653" t="s">
        <v>24</v>
      </c>
    </row>
    <row r="7" spans="1:43" ht="14.25" customHeight="1">
      <c r="A7" s="601"/>
      <c r="B7" s="601"/>
      <c r="C7" s="601"/>
      <c r="D7" s="649"/>
      <c r="E7" s="601"/>
      <c r="F7" s="27" t="s">
        <v>11</v>
      </c>
      <c r="G7" s="27" t="s">
        <v>12</v>
      </c>
      <c r="H7" s="16" t="s">
        <v>25</v>
      </c>
      <c r="I7" s="16" t="s">
        <v>26</v>
      </c>
      <c r="J7" s="16" t="s">
        <v>27</v>
      </c>
      <c r="K7" s="16" t="s">
        <v>28</v>
      </c>
      <c r="L7" s="16" t="s">
        <v>117</v>
      </c>
      <c r="M7" s="28" t="s">
        <v>30</v>
      </c>
      <c r="N7" s="597"/>
      <c r="O7" s="597"/>
      <c r="P7" s="597"/>
      <c r="Q7" s="606"/>
      <c r="R7" s="583" t="s">
        <v>31</v>
      </c>
      <c r="S7" s="584"/>
      <c r="T7" s="583" t="s">
        <v>32</v>
      </c>
      <c r="U7" s="584"/>
      <c r="V7" s="585" t="s">
        <v>33</v>
      </c>
      <c r="W7" s="585" t="s">
        <v>34</v>
      </c>
      <c r="X7" s="585" t="s">
        <v>35</v>
      </c>
      <c r="Y7" s="585" t="s">
        <v>39</v>
      </c>
      <c r="Z7" s="587" t="s">
        <v>36</v>
      </c>
      <c r="AA7" s="589" t="s">
        <v>37</v>
      </c>
      <c r="AB7" s="585" t="s">
        <v>38</v>
      </c>
      <c r="AC7" s="585" t="s">
        <v>39</v>
      </c>
      <c r="AD7" s="585" t="s">
        <v>40</v>
      </c>
      <c r="AE7" s="597"/>
      <c r="AF7" s="598" t="s">
        <v>41</v>
      </c>
      <c r="AG7" s="594" t="s">
        <v>42</v>
      </c>
      <c r="AH7" s="621"/>
      <c r="AI7" s="651"/>
      <c r="AJ7" s="654"/>
    </row>
    <row r="8" spans="1:43" ht="15" customHeight="1" thickBot="1">
      <c r="M8" s="10"/>
      <c r="N8" s="597"/>
      <c r="O8" s="597"/>
      <c r="P8" s="597"/>
      <c r="Q8" s="607"/>
      <c r="R8" s="12" t="s">
        <v>44</v>
      </c>
      <c r="S8" s="12" t="s">
        <v>45</v>
      </c>
      <c r="T8" s="12" t="s">
        <v>46</v>
      </c>
      <c r="U8" s="12" t="s">
        <v>47</v>
      </c>
      <c r="V8" s="586"/>
      <c r="W8" s="586"/>
      <c r="X8" s="586"/>
      <c r="Y8" s="586"/>
      <c r="Z8" s="588"/>
      <c r="AA8" s="590"/>
      <c r="AB8" s="586"/>
      <c r="AC8" s="586"/>
      <c r="AD8" s="586"/>
      <c r="AE8" s="586"/>
      <c r="AF8" s="599"/>
      <c r="AG8" s="13"/>
      <c r="AH8" s="14" t="s">
        <v>48</v>
      </c>
      <c r="AI8" s="652"/>
      <c r="AJ8" s="655"/>
    </row>
    <row r="9" spans="1:43" ht="15" customHeight="1">
      <c r="Q9" s="72"/>
      <c r="R9" s="105"/>
      <c r="S9" s="16"/>
      <c r="T9" s="16"/>
      <c r="U9" s="32"/>
      <c r="V9" s="32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Q9" s="5" t="s">
        <v>52</v>
      </c>
    </row>
    <row r="10" spans="1:43" ht="14.25" customHeight="1">
      <c r="A10" s="16">
        <v>1</v>
      </c>
      <c r="B10" s="96" t="s">
        <v>57</v>
      </c>
      <c r="C10" s="16" t="s">
        <v>58</v>
      </c>
      <c r="D10" s="16"/>
      <c r="E10" s="16">
        <v>20000</v>
      </c>
      <c r="F10" s="16">
        <f>ROUNDDOWN((E10/G4),)</f>
        <v>645</v>
      </c>
      <c r="G10" s="16">
        <f>ROUNDDOWN((E10/G4/9),)</f>
        <v>71</v>
      </c>
      <c r="H10" s="16">
        <v>31</v>
      </c>
      <c r="I10" s="16">
        <v>0</v>
      </c>
      <c r="J10" s="16">
        <v>4</v>
      </c>
      <c r="K10" s="16">
        <v>2</v>
      </c>
      <c r="L10" s="16">
        <v>0</v>
      </c>
      <c r="M10" s="16">
        <f>SUM(H10:L10)</f>
        <v>37</v>
      </c>
      <c r="N10" s="16">
        <v>0</v>
      </c>
      <c r="O10" s="19">
        <f>IF(M10=G4,E10,M10*F10)</f>
        <v>23865</v>
      </c>
      <c r="P10" s="16">
        <f>F10*N10</f>
        <v>0</v>
      </c>
      <c r="Q10" s="114">
        <f>+O10+P10</f>
        <v>23865</v>
      </c>
      <c r="R10" s="17" t="s">
        <v>51</v>
      </c>
      <c r="S10" s="18">
        <v>0</v>
      </c>
      <c r="T10" s="18">
        <v>0</v>
      </c>
      <c r="U10" s="19">
        <v>0</v>
      </c>
      <c r="V10" s="19">
        <v>0</v>
      </c>
      <c r="W10" s="19">
        <v>0</v>
      </c>
      <c r="X10" s="19"/>
      <c r="Y10" s="19"/>
      <c r="Z10" s="50">
        <f>SUM(S10:S11)</f>
        <v>0</v>
      </c>
      <c r="AA10" s="19">
        <v>0</v>
      </c>
      <c r="AB10" s="18">
        <f>Z10-AA10</f>
        <v>0</v>
      </c>
      <c r="AC10" s="19"/>
      <c r="AD10" s="20"/>
      <c r="AE10" s="128">
        <f>Q10-AA10+AD10</f>
        <v>23865</v>
      </c>
      <c r="AF10" s="505" t="s">
        <v>213</v>
      </c>
      <c r="AG10" s="19"/>
      <c r="AH10" s="19"/>
      <c r="AI10" s="33"/>
      <c r="AJ10" s="19" t="s">
        <v>52</v>
      </c>
    </row>
    <row r="11" spans="1:43" ht="14.25" customHeight="1">
      <c r="A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9"/>
      <c r="P11" s="16"/>
      <c r="Q11" s="114"/>
      <c r="R11" s="17"/>
      <c r="S11" s="18"/>
      <c r="T11" s="18"/>
      <c r="U11" s="19"/>
      <c r="V11" s="19"/>
      <c r="W11" s="19"/>
      <c r="X11" s="19"/>
      <c r="Y11" s="19"/>
      <c r="Z11" s="50"/>
      <c r="AA11" s="19"/>
      <c r="AB11" s="18"/>
      <c r="AC11" s="19"/>
      <c r="AD11" s="20"/>
      <c r="AE11" s="18"/>
      <c r="AF11" s="20"/>
      <c r="AG11" s="19"/>
      <c r="AH11" s="19"/>
      <c r="AI11" s="33"/>
      <c r="AJ11" s="19"/>
    </row>
    <row r="12" spans="1:43" ht="14.25" customHeight="1">
      <c r="A12" s="16">
        <v>3</v>
      </c>
      <c r="B12" s="96" t="s">
        <v>169</v>
      </c>
      <c r="C12" s="16" t="s">
        <v>50</v>
      </c>
      <c r="D12" s="16"/>
      <c r="E12" s="16">
        <v>11000</v>
      </c>
      <c r="F12" s="16">
        <f>ROUNDDOWN((E12/G4),)</f>
        <v>354</v>
      </c>
      <c r="G12" s="16">
        <f>ROUNDDOWN((E12/G4/9),)</f>
        <v>39</v>
      </c>
      <c r="H12" s="34">
        <v>29</v>
      </c>
      <c r="I12" s="16">
        <v>0</v>
      </c>
      <c r="J12" s="16">
        <v>3</v>
      </c>
      <c r="K12" s="16">
        <v>0</v>
      </c>
      <c r="L12" s="16">
        <v>0</v>
      </c>
      <c r="M12" s="34">
        <f>SUM(H12:L12)</f>
        <v>32</v>
      </c>
      <c r="N12" s="16">
        <v>0</v>
      </c>
      <c r="O12" s="19">
        <f>IF(M12=G4,E12,M12*F12)</f>
        <v>11328</v>
      </c>
      <c r="P12" s="16">
        <f>F12*N12</f>
        <v>0</v>
      </c>
      <c r="Q12" s="114">
        <f>+O12+P12</f>
        <v>11328</v>
      </c>
      <c r="R12" s="17" t="s">
        <v>51</v>
      </c>
      <c r="S12" s="18">
        <v>0</v>
      </c>
      <c r="T12" s="18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50">
        <f>SUM(S12:X12)</f>
        <v>0</v>
      </c>
      <c r="AA12" s="19">
        <v>0</v>
      </c>
      <c r="AB12" s="18">
        <f>Z12-AA12</f>
        <v>0</v>
      </c>
      <c r="AC12" s="19"/>
      <c r="AD12" s="20"/>
      <c r="AE12" s="128">
        <f>Q12-AA12+AD12</f>
        <v>11328</v>
      </c>
      <c r="AF12" s="289" t="s">
        <v>220</v>
      </c>
      <c r="AG12" s="19"/>
      <c r="AH12" s="19"/>
      <c r="AI12" s="33"/>
      <c r="AJ12" s="19" t="s">
        <v>52</v>
      </c>
    </row>
    <row r="13" spans="1:43" ht="14.25" customHeight="1">
      <c r="A13" s="16"/>
      <c r="B13" s="16"/>
      <c r="C13" s="16"/>
      <c r="D13" s="16"/>
      <c r="E13" s="16"/>
      <c r="F13" s="16"/>
      <c r="G13" s="16"/>
      <c r="H13" s="35"/>
      <c r="I13" s="16"/>
      <c r="J13" s="16"/>
      <c r="K13" s="16"/>
      <c r="L13" s="16"/>
      <c r="M13" s="16"/>
      <c r="N13" s="16"/>
      <c r="O13" s="19"/>
      <c r="P13" s="16"/>
      <c r="Q13" s="114"/>
      <c r="R13" s="17"/>
      <c r="S13" s="18"/>
      <c r="T13" s="18"/>
      <c r="U13" s="19"/>
      <c r="V13" s="19"/>
      <c r="W13" s="19"/>
      <c r="X13" s="19"/>
      <c r="Y13" s="19"/>
      <c r="Z13" s="50"/>
      <c r="AA13" s="19"/>
      <c r="AB13" s="18"/>
      <c r="AC13" s="19"/>
      <c r="AD13" s="20"/>
      <c r="AE13" s="18"/>
      <c r="AF13" s="20"/>
      <c r="AG13" s="19"/>
      <c r="AH13" s="19"/>
      <c r="AI13" s="33"/>
      <c r="AJ13" s="19"/>
    </row>
    <row r="14" spans="1:43" ht="15" customHeight="1">
      <c r="A14" s="16">
        <v>4</v>
      </c>
      <c r="B14" s="96" t="s">
        <v>170</v>
      </c>
      <c r="C14" s="16" t="s">
        <v>50</v>
      </c>
      <c r="D14" s="16">
        <v>1000</v>
      </c>
      <c r="E14" s="16">
        <v>12000</v>
      </c>
      <c r="F14" s="16">
        <f>ROUNDDOWN((E14/G4),)</f>
        <v>387</v>
      </c>
      <c r="G14" s="16">
        <f>ROUNDDOWN((E14/G4/9),)</f>
        <v>43</v>
      </c>
      <c r="H14" s="16">
        <v>29</v>
      </c>
      <c r="I14" s="16">
        <v>1</v>
      </c>
      <c r="J14" s="16">
        <v>3</v>
      </c>
      <c r="K14" s="16">
        <v>0</v>
      </c>
      <c r="L14" s="16">
        <v>0</v>
      </c>
      <c r="M14" s="16">
        <f>SUM(H14:L14)</f>
        <v>33</v>
      </c>
      <c r="N14" s="16">
        <v>0</v>
      </c>
      <c r="O14" s="19">
        <f>IF(M14=G4,E14,M14*F14)</f>
        <v>12771</v>
      </c>
      <c r="P14" s="16">
        <f>F14*N14</f>
        <v>0</v>
      </c>
      <c r="Q14" s="114">
        <f>+O14+P14</f>
        <v>12771</v>
      </c>
      <c r="R14" s="17" t="s">
        <v>51</v>
      </c>
      <c r="S14" s="18">
        <v>0</v>
      </c>
      <c r="T14" s="18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50">
        <f>SUM(S14:X14)</f>
        <v>0</v>
      </c>
      <c r="AA14" s="19"/>
      <c r="AB14" s="18">
        <f>Z14-AA14</f>
        <v>0</v>
      </c>
      <c r="AC14" s="19"/>
      <c r="AD14" s="20"/>
      <c r="AE14" s="128">
        <f>Q14-AA14+AD14</f>
        <v>12771</v>
      </c>
      <c r="AF14" s="289" t="s">
        <v>211</v>
      </c>
      <c r="AG14" s="19"/>
      <c r="AH14" s="19"/>
      <c r="AI14" s="33"/>
      <c r="AJ14" s="19" t="s">
        <v>52</v>
      </c>
    </row>
    <row r="15" spans="1:43" ht="14.25" customHeight="1">
      <c r="Q15">
        <f>SUM(Q10:Q14)</f>
        <v>47964</v>
      </c>
    </row>
    <row r="16" spans="1:43" ht="12.6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8">
    <mergeCell ref="AG7:AH7"/>
    <mergeCell ref="AI6:AI8"/>
    <mergeCell ref="AJ6:AJ8"/>
    <mergeCell ref="R7:S7"/>
    <mergeCell ref="T7:U7"/>
    <mergeCell ref="V7:V8"/>
    <mergeCell ref="W7:W8"/>
    <mergeCell ref="X7:X8"/>
    <mergeCell ref="Y7:Y8"/>
    <mergeCell ref="Z7:Z8"/>
    <mergeCell ref="AA7:AA8"/>
    <mergeCell ref="AF6:AH6"/>
    <mergeCell ref="AF7:AF8"/>
    <mergeCell ref="P6:P8"/>
    <mergeCell ref="Q6:Q8"/>
    <mergeCell ref="AA6:AB6"/>
    <mergeCell ref="AC6:AD6"/>
    <mergeCell ref="AE6:AE8"/>
    <mergeCell ref="AB7:AB8"/>
    <mergeCell ref="AC7:AC8"/>
    <mergeCell ref="AD7:AD8"/>
    <mergeCell ref="O6:O8"/>
    <mergeCell ref="A6:A7"/>
    <mergeCell ref="B6:B7"/>
    <mergeCell ref="C6:C7"/>
    <mergeCell ref="E6:E7"/>
    <mergeCell ref="N6:N8"/>
    <mergeCell ref="D6:D7"/>
  </mergeCells>
  <dataValidations count="2">
    <dataValidation type="list" allowBlank="1" showErrorMessage="1" sqref="AG10:AG14" xr:uid="{F46C12C0-4D58-4BF3-8F7A-C6CD314AE697}">
      <formula1>"Own,Other"</formula1>
    </dataValidation>
    <dataValidation type="list" allowBlank="1" showErrorMessage="1" sqref="AQ9 AJ10:AJ14" xr:uid="{EF64B6D1-9B1C-4E62-89EE-17D1283F403E}">
      <formula1>"Working,Left"</formula1>
    </dataValidation>
  </dataValidations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7030A0"/>
  </sheetPr>
  <dimension ref="A1:AG998"/>
  <sheetViews>
    <sheetView zoomScale="99" workbookViewId="0">
      <selection activeCell="D15" sqref="D15"/>
    </sheetView>
  </sheetViews>
  <sheetFormatPr defaultColWidth="14.44140625" defaultRowHeight="15" customHeight="1"/>
  <cols>
    <col min="1" max="1" width="3.5546875" customWidth="1"/>
    <col min="2" max="2" width="7.44140625" customWidth="1"/>
    <col min="3" max="3" width="7.6640625" customWidth="1"/>
    <col min="4" max="4" width="6.5546875" customWidth="1"/>
    <col min="5" max="5" width="4.88671875" customWidth="1"/>
    <col min="6" max="6" width="5.5546875" customWidth="1"/>
    <col min="7" max="7" width="3.44140625" customWidth="1"/>
    <col min="8" max="8" width="3.6640625" customWidth="1"/>
    <col min="9" max="9" width="4.5546875" customWidth="1"/>
    <col min="10" max="10" width="3.44140625" customWidth="1"/>
    <col min="11" max="11" width="6.44140625" customWidth="1"/>
    <col min="12" max="12" width="6" customWidth="1"/>
    <col min="13" max="13" width="6.33203125" customWidth="1"/>
    <col min="14" max="14" width="5.33203125" bestFit="1" customWidth="1"/>
    <col min="15" max="15" width="6.6640625" bestFit="1" customWidth="1"/>
    <col min="16" max="16" width="10.6640625" customWidth="1"/>
    <col min="17" max="17" width="10.33203125" customWidth="1"/>
    <col min="18" max="18" width="7.5546875" customWidth="1"/>
    <col min="19" max="19" width="7.6640625" customWidth="1"/>
    <col min="20" max="20" width="6" bestFit="1" customWidth="1"/>
    <col min="21" max="21" width="2.77734375" bestFit="1" customWidth="1"/>
    <col min="22" max="22" width="6.5546875" bestFit="1" customWidth="1"/>
    <col min="23" max="23" width="7.88671875" customWidth="1"/>
    <col min="24" max="24" width="6.6640625" customWidth="1"/>
    <col min="25" max="25" width="8.33203125" customWidth="1"/>
    <col min="26" max="26" width="4.109375" customWidth="1"/>
    <col min="27" max="27" width="4.5546875" bestFit="1" customWidth="1"/>
    <col min="28" max="28" width="9.33203125" customWidth="1"/>
    <col min="29" max="29" width="10.6640625" customWidth="1"/>
    <col min="30" max="30" width="11.5546875" customWidth="1"/>
    <col min="31" max="31" width="11.109375" customWidth="1"/>
    <col min="32" max="33" width="8.6640625" customWidth="1"/>
  </cols>
  <sheetData>
    <row r="1" spans="1:33" ht="18.75" customHeight="1">
      <c r="A1" s="1"/>
      <c r="B1" s="1" t="s">
        <v>0</v>
      </c>
    </row>
    <row r="2" spans="1:33" ht="14.25" customHeight="1"/>
    <row r="3" spans="1:33" ht="15.75" customHeight="1">
      <c r="B3" s="2" t="s">
        <v>1</v>
      </c>
      <c r="C3" s="2"/>
      <c r="D3" s="3" t="s">
        <v>88</v>
      </c>
    </row>
    <row r="4" spans="1:33" ht="14.25" customHeight="1">
      <c r="B4" s="2" t="s">
        <v>3</v>
      </c>
      <c r="C4" s="2"/>
      <c r="D4" s="4" t="s">
        <v>196</v>
      </c>
      <c r="F4" s="5">
        <v>31</v>
      </c>
    </row>
    <row r="5" spans="1:33" ht="15" customHeight="1">
      <c r="B5" s="2" t="s">
        <v>4</v>
      </c>
      <c r="C5" s="2"/>
      <c r="D5" s="6" t="s">
        <v>5</v>
      </c>
    </row>
    <row r="6" spans="1:33" ht="14.25" customHeight="1">
      <c r="V6" s="37"/>
      <c r="W6" s="37"/>
      <c r="X6" s="37"/>
      <c r="Y6" s="37"/>
      <c r="Z6" s="37"/>
      <c r="AA6" s="37"/>
      <c r="AB6" s="37"/>
      <c r="AC6" s="37"/>
      <c r="AF6" s="28"/>
      <c r="AG6" s="51"/>
    </row>
    <row r="7" spans="1:33" ht="15" customHeight="1">
      <c r="A7" s="600" t="s">
        <v>54</v>
      </c>
      <c r="B7" s="600" t="s">
        <v>8</v>
      </c>
      <c r="C7" s="602" t="s">
        <v>9</v>
      </c>
      <c r="D7" s="602" t="s">
        <v>10</v>
      </c>
      <c r="E7" s="16"/>
      <c r="F7" s="16"/>
      <c r="G7" s="15" t="s">
        <v>13</v>
      </c>
      <c r="H7" s="22"/>
      <c r="I7" s="22"/>
      <c r="J7" s="22"/>
      <c r="K7" s="23"/>
      <c r="L7" s="596" t="s">
        <v>55</v>
      </c>
      <c r="M7" s="596" t="s">
        <v>15</v>
      </c>
      <c r="N7" s="596" t="s">
        <v>16</v>
      </c>
      <c r="O7" s="605" t="s">
        <v>56</v>
      </c>
      <c r="P7" s="608" t="s">
        <v>19</v>
      </c>
      <c r="Q7" s="592"/>
      <c r="R7" s="592"/>
      <c r="S7" s="592"/>
      <c r="T7" s="592"/>
      <c r="U7" s="592"/>
      <c r="V7" s="592"/>
      <c r="W7" s="593"/>
      <c r="X7" s="609" t="s">
        <v>20</v>
      </c>
      <c r="Y7" s="593"/>
      <c r="Z7" s="610" t="s">
        <v>21</v>
      </c>
      <c r="AA7" s="611"/>
      <c r="AB7" s="596" t="s">
        <v>22</v>
      </c>
      <c r="AC7" s="591" t="s">
        <v>23</v>
      </c>
      <c r="AD7" s="592"/>
      <c r="AE7" s="593"/>
      <c r="AF7" s="577" t="s">
        <v>43</v>
      </c>
      <c r="AG7" s="580" t="s">
        <v>24</v>
      </c>
    </row>
    <row r="8" spans="1:33" ht="14.25" customHeight="1">
      <c r="A8" s="601"/>
      <c r="B8" s="601"/>
      <c r="C8" s="601"/>
      <c r="D8" s="601"/>
      <c r="E8" s="27" t="s">
        <v>11</v>
      </c>
      <c r="F8" s="27" t="s">
        <v>12</v>
      </c>
      <c r="G8" s="16" t="s">
        <v>25</v>
      </c>
      <c r="H8" s="16" t="s">
        <v>26</v>
      </c>
      <c r="I8" s="16" t="s">
        <v>27</v>
      </c>
      <c r="J8" s="16" t="s">
        <v>28</v>
      </c>
      <c r="K8" s="28" t="s">
        <v>30</v>
      </c>
      <c r="L8" s="597"/>
      <c r="M8" s="597"/>
      <c r="N8" s="597"/>
      <c r="O8" s="606"/>
      <c r="P8" s="583" t="s">
        <v>31</v>
      </c>
      <c r="Q8" s="584"/>
      <c r="R8" s="583" t="s">
        <v>32</v>
      </c>
      <c r="S8" s="584"/>
      <c r="T8" s="585" t="s">
        <v>33</v>
      </c>
      <c r="U8" s="585" t="s">
        <v>34</v>
      </c>
      <c r="V8" s="585" t="s">
        <v>35</v>
      </c>
      <c r="W8" s="587" t="s">
        <v>36</v>
      </c>
      <c r="X8" s="589" t="s">
        <v>37</v>
      </c>
      <c r="Y8" s="585" t="s">
        <v>38</v>
      </c>
      <c r="Z8" s="585" t="s">
        <v>39</v>
      </c>
      <c r="AA8" s="585" t="s">
        <v>40</v>
      </c>
      <c r="AB8" s="597"/>
      <c r="AC8" s="598" t="s">
        <v>41</v>
      </c>
      <c r="AD8" s="594" t="s">
        <v>42</v>
      </c>
      <c r="AE8" s="595"/>
      <c r="AF8" s="578"/>
      <c r="AG8" s="581"/>
    </row>
    <row r="9" spans="1:33" ht="15" customHeight="1">
      <c r="K9" s="10"/>
      <c r="L9" s="597"/>
      <c r="M9" s="597"/>
      <c r="N9" s="597"/>
      <c r="O9" s="607"/>
      <c r="P9" s="12" t="s">
        <v>44</v>
      </c>
      <c r="Q9" s="12" t="s">
        <v>45</v>
      </c>
      <c r="R9" s="12" t="s">
        <v>46</v>
      </c>
      <c r="S9" s="12" t="s">
        <v>47</v>
      </c>
      <c r="T9" s="586"/>
      <c r="U9" s="586"/>
      <c r="V9" s="586"/>
      <c r="W9" s="588"/>
      <c r="X9" s="590"/>
      <c r="Y9" s="586"/>
      <c r="Z9" s="586"/>
      <c r="AA9" s="586"/>
      <c r="AB9" s="586"/>
      <c r="AC9" s="599"/>
      <c r="AD9" s="13"/>
      <c r="AE9" s="14" t="s">
        <v>48</v>
      </c>
      <c r="AF9" s="579"/>
      <c r="AG9" s="582"/>
    </row>
    <row r="10" spans="1:33" ht="15" customHeight="1">
      <c r="O10" s="72"/>
      <c r="Q10" s="16"/>
      <c r="R10" s="16"/>
      <c r="S10" s="32"/>
      <c r="T10" s="32"/>
      <c r="U10" s="16"/>
      <c r="V10" s="16"/>
      <c r="W10" s="16"/>
      <c r="X10" s="16"/>
      <c r="Y10" s="16"/>
      <c r="Z10" s="16"/>
      <c r="AA10" s="16"/>
      <c r="AB10" s="16"/>
      <c r="AC10" s="98"/>
      <c r="AD10" s="16"/>
      <c r="AE10" s="16"/>
      <c r="AF10" s="16"/>
      <c r="AG10" s="16"/>
    </row>
    <row r="11" spans="1:33" ht="14.25" customHeight="1">
      <c r="A11" s="16">
        <v>1</v>
      </c>
      <c r="B11" s="555" t="s">
        <v>89</v>
      </c>
      <c r="C11" s="16" t="s">
        <v>50</v>
      </c>
      <c r="D11" s="16">
        <v>11000</v>
      </c>
      <c r="E11" s="16">
        <f>ROUNDDOWN((D11/F4),)</f>
        <v>354</v>
      </c>
      <c r="F11" s="16">
        <f>ROUNDDOWN((D11/F4/9),)</f>
        <v>39</v>
      </c>
      <c r="G11" s="16">
        <v>27</v>
      </c>
      <c r="H11" s="16">
        <v>4</v>
      </c>
      <c r="I11" s="16">
        <v>0</v>
      </c>
      <c r="J11" s="16">
        <v>0</v>
      </c>
      <c r="K11" s="16">
        <f>SUM(G11:J11)</f>
        <v>31</v>
      </c>
      <c r="L11" s="16">
        <v>0</v>
      </c>
      <c r="M11" s="19">
        <f>IF(K11=F4,D11,K11*E11)</f>
        <v>11000</v>
      </c>
      <c r="N11" s="16">
        <f>E11*L11</f>
        <v>0</v>
      </c>
      <c r="O11" s="108">
        <f>+M11+N11</f>
        <v>11000</v>
      </c>
      <c r="P11" s="17" t="s">
        <v>51</v>
      </c>
      <c r="Q11" s="18">
        <v>0</v>
      </c>
      <c r="R11" s="18">
        <v>0</v>
      </c>
      <c r="S11" s="19">
        <v>0</v>
      </c>
      <c r="T11" s="19">
        <v>0</v>
      </c>
      <c r="U11" s="19">
        <v>0</v>
      </c>
      <c r="V11" s="19">
        <v>0</v>
      </c>
      <c r="W11" s="18">
        <f>SUM(Q11:V11)</f>
        <v>0</v>
      </c>
      <c r="X11" s="19">
        <v>0</v>
      </c>
      <c r="Y11" s="18">
        <f>W11-X11</f>
        <v>0</v>
      </c>
      <c r="Z11" s="19"/>
      <c r="AA11" s="18"/>
      <c r="AB11" s="229">
        <f>O11-X11+AA11</f>
        <v>11000</v>
      </c>
      <c r="AC11" s="289" t="s">
        <v>223</v>
      </c>
      <c r="AD11" s="97"/>
      <c r="AE11" s="19"/>
      <c r="AF11" s="33"/>
      <c r="AG11" s="19" t="s">
        <v>52</v>
      </c>
    </row>
    <row r="12" spans="1:33" ht="14.25" customHeight="1">
      <c r="B12" s="556"/>
      <c r="O12" s="72"/>
    </row>
    <row r="13" spans="1:33" ht="15" customHeight="1">
      <c r="A13" s="16">
        <v>3</v>
      </c>
      <c r="B13" s="555" t="s">
        <v>90</v>
      </c>
      <c r="C13" s="16" t="s">
        <v>50</v>
      </c>
      <c r="D13" s="16">
        <v>13000</v>
      </c>
      <c r="E13" s="16">
        <f>ROUNDDOWN((D13/F4),)</f>
        <v>419</v>
      </c>
      <c r="F13" s="16">
        <f>ROUNDDOWN((D13/F4/9),)</f>
        <v>46</v>
      </c>
      <c r="G13" s="16">
        <v>27</v>
      </c>
      <c r="H13" s="16">
        <v>4</v>
      </c>
      <c r="I13" s="16">
        <v>0</v>
      </c>
      <c r="J13" s="16">
        <v>0</v>
      </c>
      <c r="K13" s="16">
        <f>SUM(G13:J13)</f>
        <v>31</v>
      </c>
      <c r="L13" s="16">
        <v>0</v>
      </c>
      <c r="M13" s="19">
        <f>IF(K13=F4,D13,K13*E13)</f>
        <v>13000</v>
      </c>
      <c r="N13" s="16">
        <f>E13*L13</f>
        <v>0</v>
      </c>
      <c r="O13" s="108">
        <f>+M13+N13</f>
        <v>13000</v>
      </c>
      <c r="P13" s="17" t="s">
        <v>51</v>
      </c>
      <c r="Q13" s="18">
        <v>0</v>
      </c>
      <c r="R13" s="18">
        <v>0</v>
      </c>
      <c r="S13" s="19">
        <v>0</v>
      </c>
      <c r="T13" s="19">
        <v>0</v>
      </c>
      <c r="U13" s="19">
        <v>0</v>
      </c>
      <c r="V13" s="19">
        <v>0</v>
      </c>
      <c r="W13" s="18">
        <f>SUM(Q13:V13)</f>
        <v>0</v>
      </c>
      <c r="X13" s="19">
        <v>0</v>
      </c>
      <c r="Y13" s="18">
        <f>W13-X13</f>
        <v>0</v>
      </c>
      <c r="Z13" s="19"/>
      <c r="AA13" s="18"/>
      <c r="AB13" s="18">
        <f>O13-X13+AA13</f>
        <v>13000</v>
      </c>
      <c r="AC13" s="289" t="s">
        <v>223</v>
      </c>
      <c r="AD13" s="19"/>
      <c r="AE13" s="52"/>
      <c r="AF13" s="33"/>
      <c r="AG13" s="19" t="s">
        <v>52</v>
      </c>
    </row>
    <row r="14" spans="1:33" ht="14.25" customHeight="1">
      <c r="B14" s="556"/>
    </row>
    <row r="15" spans="1:33" ht="14.25" customHeight="1"/>
    <row r="16" spans="1:3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7">
    <mergeCell ref="A7:A8"/>
    <mergeCell ref="B7:B8"/>
    <mergeCell ref="C7:C8"/>
    <mergeCell ref="D7:D8"/>
    <mergeCell ref="L7:L9"/>
    <mergeCell ref="M7:M9"/>
    <mergeCell ref="N7:N9"/>
    <mergeCell ref="O7:O9"/>
    <mergeCell ref="P8:Q8"/>
    <mergeCell ref="R8:S8"/>
    <mergeCell ref="P7:W7"/>
    <mergeCell ref="T8:T9"/>
    <mergeCell ref="U8:U9"/>
    <mergeCell ref="V8:V9"/>
    <mergeCell ref="W8:W9"/>
    <mergeCell ref="X8:X9"/>
    <mergeCell ref="AF7:AF9"/>
    <mergeCell ref="AG7:AG9"/>
    <mergeCell ref="AA8:AA9"/>
    <mergeCell ref="AD8:AE8"/>
    <mergeCell ref="Y8:Y9"/>
    <mergeCell ref="Z8:Z9"/>
    <mergeCell ref="AB7:AB9"/>
    <mergeCell ref="AC8:AC9"/>
    <mergeCell ref="X7:Y7"/>
    <mergeCell ref="Z7:AA7"/>
    <mergeCell ref="AC7:AE7"/>
  </mergeCells>
  <dataValidations count="2">
    <dataValidation type="list" allowBlank="1" showErrorMessage="1" sqref="AG11 AG13" xr:uid="{00000000-0002-0000-0900-000000000000}">
      <formula1>"Working,Left"</formula1>
    </dataValidation>
    <dataValidation type="list" allowBlank="1" showErrorMessage="1" sqref="AD11 AD13" xr:uid="{00000000-0002-0000-0900-000001000000}">
      <formula1>"Own,Other"</formula1>
    </dataValidation>
  </dataValidation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440F-232C-488C-B2C6-5F83AA5D57A6}">
  <sheetPr>
    <tabColor rgb="FF7030A0"/>
  </sheetPr>
  <dimension ref="A1:AN996"/>
  <sheetViews>
    <sheetView zoomScale="75" zoomScaleNormal="85" workbookViewId="0">
      <selection activeCell="F4" sqref="F4"/>
    </sheetView>
  </sheetViews>
  <sheetFormatPr defaultColWidth="14.44140625" defaultRowHeight="15" customHeight="1"/>
  <cols>
    <col min="1" max="1" width="4.109375" style="170" customWidth="1"/>
    <col min="2" max="2" width="2.6640625" style="170" customWidth="1"/>
    <col min="3" max="3" width="16.6640625" style="170" bestFit="1" customWidth="1"/>
    <col min="4" max="4" width="13.109375" style="170" customWidth="1"/>
    <col min="5" max="5" width="9.33203125" style="170" customWidth="1"/>
    <col min="6" max="6" width="6.6640625" style="170" customWidth="1"/>
    <col min="7" max="7" width="5.6640625" style="170" customWidth="1"/>
    <col min="8" max="8" width="6.5546875" style="170" customWidth="1"/>
    <col min="9" max="9" width="5.88671875" style="170" bestFit="1" customWidth="1"/>
    <col min="10" max="10" width="4.33203125" style="170" customWidth="1"/>
    <col min="11" max="11" width="5.109375" style="170" customWidth="1"/>
    <col min="12" max="12" width="5.44140625" style="170" customWidth="1"/>
    <col min="13" max="13" width="5.109375" style="170" customWidth="1"/>
    <col min="14" max="14" width="6" style="170" customWidth="1"/>
    <col min="15" max="15" width="3.88671875" style="170" customWidth="1"/>
    <col min="16" max="16" width="6.44140625" style="170" customWidth="1"/>
    <col min="17" max="17" width="6.33203125" style="170" customWidth="1"/>
    <col min="18" max="18" width="6.5546875" style="170" customWidth="1"/>
    <col min="19" max="19" width="5.33203125" style="170" customWidth="1"/>
    <col min="20" max="20" width="7" style="170" customWidth="1"/>
    <col min="21" max="21" width="10.44140625" style="170" customWidth="1"/>
    <col min="22" max="22" width="9.33203125" style="170" bestFit="1" customWidth="1"/>
    <col min="23" max="23" width="7.5546875" style="170" customWidth="1"/>
    <col min="24" max="24" width="4.88671875" style="170" customWidth="1"/>
    <col min="25" max="25" width="6" style="170" customWidth="1"/>
    <col min="26" max="26" width="2.88671875" style="170" customWidth="1"/>
    <col min="27" max="27" width="6.5546875" style="170" customWidth="1"/>
    <col min="28" max="28" width="9.33203125" style="170" bestFit="1" customWidth="1"/>
    <col min="29" max="29" width="8.5546875" style="170" bestFit="1" customWidth="1"/>
    <col min="30" max="30" width="8.88671875" style="170" bestFit="1" customWidth="1"/>
    <col min="31" max="31" width="7" style="170" customWidth="1"/>
    <col min="32" max="32" width="5.109375" style="170" customWidth="1"/>
    <col min="33" max="33" width="7.6640625" style="170" bestFit="1" customWidth="1"/>
    <col min="34" max="34" width="10.88671875" style="170" customWidth="1"/>
    <col min="35" max="40" width="8.6640625" style="170" customWidth="1"/>
    <col min="41" max="16384" width="14.44140625" style="170"/>
  </cols>
  <sheetData>
    <row r="1" spans="1:38" ht="18.75" customHeight="1">
      <c r="A1" s="222"/>
      <c r="B1" s="222"/>
      <c r="C1" s="222" t="s">
        <v>0</v>
      </c>
      <c r="D1" s="222"/>
      <c r="E1" s="222"/>
      <c r="F1" s="222"/>
    </row>
    <row r="2" spans="1:38" ht="14.25" customHeight="1">
      <c r="I2" s="281" t="s">
        <v>91</v>
      </c>
    </row>
    <row r="3" spans="1:38" ht="15.75" customHeight="1">
      <c r="C3" s="280" t="s">
        <v>1</v>
      </c>
      <c r="D3" s="280"/>
      <c r="E3" s="280"/>
      <c r="F3" s="280"/>
      <c r="I3" s="282" t="s">
        <v>196</v>
      </c>
      <c r="K3" s="218">
        <v>31</v>
      </c>
    </row>
    <row r="4" spans="1:38" ht="14.25" customHeight="1">
      <c r="C4" s="280" t="s">
        <v>3</v>
      </c>
      <c r="D4" s="280"/>
      <c r="E4" s="280"/>
      <c r="F4" s="280"/>
      <c r="I4" s="283" t="s">
        <v>5</v>
      </c>
    </row>
    <row r="5" spans="1:38" ht="15" customHeight="1">
      <c r="C5" s="280" t="s">
        <v>4</v>
      </c>
      <c r="D5" s="280"/>
      <c r="E5" s="280"/>
      <c r="F5" s="280"/>
    </row>
    <row r="6" spans="1:38" ht="14.25" customHeight="1" thickBot="1"/>
    <row r="7" spans="1:38" ht="15" customHeight="1">
      <c r="A7" s="680" t="s">
        <v>54</v>
      </c>
      <c r="B7" s="293"/>
      <c r="C7" s="680" t="s">
        <v>8</v>
      </c>
      <c r="D7" s="682" t="s">
        <v>9</v>
      </c>
      <c r="E7" s="648" t="s">
        <v>92</v>
      </c>
      <c r="F7" s="683" t="s">
        <v>10</v>
      </c>
      <c r="G7" s="294"/>
      <c r="H7" s="295"/>
      <c r="I7" s="679" t="s">
        <v>13</v>
      </c>
      <c r="J7" s="657"/>
      <c r="K7" s="657"/>
      <c r="L7" s="657"/>
      <c r="M7" s="657"/>
      <c r="N7" s="657"/>
      <c r="O7" s="657"/>
      <c r="P7" s="658"/>
      <c r="Q7" s="663" t="s">
        <v>93</v>
      </c>
      <c r="R7" s="663" t="s">
        <v>15</v>
      </c>
      <c r="S7" s="663" t="s">
        <v>16</v>
      </c>
      <c r="T7" s="663" t="s">
        <v>17</v>
      </c>
      <c r="U7" s="296" t="s">
        <v>19</v>
      </c>
      <c r="V7" s="297"/>
      <c r="W7" s="297"/>
      <c r="X7" s="297"/>
      <c r="Y7" s="297"/>
      <c r="Z7" s="297"/>
      <c r="AA7" s="297"/>
      <c r="AB7" s="298"/>
      <c r="AC7" s="676" t="s">
        <v>20</v>
      </c>
      <c r="AD7" s="658"/>
      <c r="AE7" s="677" t="s">
        <v>21</v>
      </c>
      <c r="AF7" s="678"/>
      <c r="AG7" s="663" t="s">
        <v>22</v>
      </c>
      <c r="AH7" s="656" t="s">
        <v>23</v>
      </c>
      <c r="AI7" s="657"/>
      <c r="AJ7" s="658"/>
      <c r="AK7" s="299"/>
      <c r="AL7" s="669" t="s">
        <v>24</v>
      </c>
    </row>
    <row r="8" spans="1:38" ht="29.25" customHeight="1">
      <c r="A8" s="681"/>
      <c r="B8" s="300"/>
      <c r="C8" s="681"/>
      <c r="D8" s="681"/>
      <c r="E8" s="649"/>
      <c r="F8" s="649"/>
      <c r="G8" s="301" t="s">
        <v>94</v>
      </c>
      <c r="H8" s="302" t="s">
        <v>95</v>
      </c>
      <c r="I8" s="667" t="s">
        <v>25</v>
      </c>
      <c r="J8" s="667" t="s">
        <v>26</v>
      </c>
      <c r="K8" s="667" t="s">
        <v>27</v>
      </c>
      <c r="L8" s="667" t="s">
        <v>28</v>
      </c>
      <c r="M8" s="667" t="s">
        <v>29</v>
      </c>
      <c r="N8" s="659" t="s">
        <v>96</v>
      </c>
      <c r="O8" s="659" t="s">
        <v>125</v>
      </c>
      <c r="P8" s="667" t="s">
        <v>30</v>
      </c>
      <c r="Q8" s="664"/>
      <c r="R8" s="664"/>
      <c r="S8" s="664"/>
      <c r="T8" s="664"/>
      <c r="U8" s="684" t="s">
        <v>31</v>
      </c>
      <c r="V8" s="685"/>
      <c r="W8" s="684" t="s">
        <v>32</v>
      </c>
      <c r="X8" s="685"/>
      <c r="Y8" s="659" t="s">
        <v>33</v>
      </c>
      <c r="Z8" s="659" t="s">
        <v>34</v>
      </c>
      <c r="AA8" s="659" t="s">
        <v>35</v>
      </c>
      <c r="AB8" s="672" t="s">
        <v>36</v>
      </c>
      <c r="AC8" s="674" t="s">
        <v>37</v>
      </c>
      <c r="AD8" s="659" t="s">
        <v>38</v>
      </c>
      <c r="AE8" s="659" t="s">
        <v>39</v>
      </c>
      <c r="AF8" s="659" t="s">
        <v>40</v>
      </c>
      <c r="AG8" s="664"/>
      <c r="AH8" s="665" t="s">
        <v>41</v>
      </c>
      <c r="AI8" s="661" t="s">
        <v>42</v>
      </c>
      <c r="AJ8" s="662"/>
      <c r="AK8" s="659" t="s">
        <v>43</v>
      </c>
      <c r="AL8" s="670"/>
    </row>
    <row r="9" spans="1:38" ht="15" customHeight="1" thickBot="1">
      <c r="I9" s="660"/>
      <c r="J9" s="660"/>
      <c r="K9" s="660"/>
      <c r="L9" s="660"/>
      <c r="M9" s="660"/>
      <c r="N9" s="660"/>
      <c r="O9" s="668"/>
      <c r="P9" s="660"/>
      <c r="Q9" s="660"/>
      <c r="R9" s="660"/>
      <c r="S9" s="660"/>
      <c r="T9" s="660"/>
      <c r="U9" s="303" t="s">
        <v>44</v>
      </c>
      <c r="V9" s="303" t="s">
        <v>45</v>
      </c>
      <c r="W9" s="303" t="s">
        <v>46</v>
      </c>
      <c r="X9" s="303" t="s">
        <v>47</v>
      </c>
      <c r="Y9" s="660"/>
      <c r="Z9" s="660"/>
      <c r="AA9" s="660"/>
      <c r="AB9" s="673"/>
      <c r="AC9" s="675"/>
      <c r="AD9" s="660"/>
      <c r="AE9" s="660"/>
      <c r="AF9" s="660"/>
      <c r="AG9" s="660"/>
      <c r="AH9" s="666"/>
      <c r="AI9" s="284"/>
      <c r="AJ9" s="304" t="s">
        <v>48</v>
      </c>
      <c r="AK9" s="660"/>
      <c r="AL9" s="671"/>
    </row>
    <row r="10" spans="1:38" ht="15" customHeight="1">
      <c r="A10" s="286"/>
      <c r="B10" s="559"/>
      <c r="C10" s="285" t="s">
        <v>137</v>
      </c>
      <c r="D10" s="286" t="s">
        <v>129</v>
      </c>
      <c r="E10" s="305"/>
      <c r="F10" s="305">
        <v>14000</v>
      </c>
      <c r="G10" s="295">
        <f>ROUNDDOWN((F10/K3),)</f>
        <v>451</v>
      </c>
      <c r="H10" s="286">
        <v>40</v>
      </c>
      <c r="I10" s="286">
        <v>21</v>
      </c>
      <c r="J10" s="286">
        <v>4</v>
      </c>
      <c r="K10" s="286">
        <v>0</v>
      </c>
      <c r="L10" s="286">
        <v>4</v>
      </c>
      <c r="M10" s="286">
        <v>0</v>
      </c>
      <c r="N10" s="286">
        <v>0</v>
      </c>
      <c r="O10" s="286"/>
      <c r="P10" s="306">
        <f>SUM(I10:M10)-N10</f>
        <v>29</v>
      </c>
      <c r="Q10" s="286">
        <v>0</v>
      </c>
      <c r="R10" s="286">
        <f>IF(P10=K3,F10,P10*G10)</f>
        <v>13079</v>
      </c>
      <c r="S10" s="286">
        <f>H10*Q10</f>
        <v>0</v>
      </c>
      <c r="T10" s="217">
        <f>+R10+S10</f>
        <v>13079</v>
      </c>
      <c r="U10" s="287" t="s">
        <v>51</v>
      </c>
      <c r="V10" s="288">
        <v>0</v>
      </c>
      <c r="W10" s="288">
        <v>0</v>
      </c>
      <c r="X10" s="216">
        <v>0</v>
      </c>
      <c r="Y10" s="216">
        <v>0</v>
      </c>
      <c r="Z10" s="216">
        <v>0</v>
      </c>
      <c r="AA10" s="216">
        <v>0</v>
      </c>
      <c r="AB10" s="288">
        <f>SUM(V10:AA10)</f>
        <v>0</v>
      </c>
      <c r="AC10" s="216">
        <v>0</v>
      </c>
      <c r="AD10" s="288">
        <f>AB10-AC10</f>
        <v>0</v>
      </c>
      <c r="AE10" s="216"/>
      <c r="AF10" s="314"/>
      <c r="AG10" s="225">
        <f>T10-AC10+AF10</f>
        <v>13079</v>
      </c>
      <c r="AH10" s="289" t="s">
        <v>223</v>
      </c>
      <c r="AI10" s="216"/>
      <c r="AJ10" s="216"/>
      <c r="AK10" s="215"/>
      <c r="AL10" s="216"/>
    </row>
    <row r="11" spans="1:38" ht="15" customHeight="1">
      <c r="B11" s="561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221"/>
      <c r="U11" s="308"/>
      <c r="V11" s="308"/>
      <c r="W11" s="308"/>
      <c r="X11" s="308"/>
      <c r="Y11" s="307"/>
      <c r="Z11" s="307"/>
      <c r="AA11" s="307"/>
      <c r="AB11" s="309"/>
      <c r="AC11" s="310"/>
      <c r="AD11" s="307"/>
      <c r="AE11" s="307"/>
      <c r="AF11" s="344"/>
      <c r="AG11" s="345"/>
      <c r="AH11" s="310"/>
      <c r="AI11" s="311"/>
      <c r="AJ11" s="312"/>
      <c r="AK11" s="307"/>
      <c r="AL11" s="309"/>
    </row>
    <row r="12" spans="1:38" ht="15" customHeight="1">
      <c r="B12" s="561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221"/>
      <c r="U12" s="308"/>
      <c r="V12" s="308"/>
      <c r="W12" s="308"/>
      <c r="X12" s="308"/>
      <c r="Y12" s="307"/>
      <c r="Z12" s="307"/>
      <c r="AA12" s="307"/>
      <c r="AB12" s="309"/>
      <c r="AC12" s="310"/>
      <c r="AD12" s="307"/>
      <c r="AE12" s="307"/>
      <c r="AF12" s="344"/>
      <c r="AG12" s="345"/>
      <c r="AH12" s="310"/>
      <c r="AI12" s="311"/>
      <c r="AJ12" s="312"/>
      <c r="AK12" s="307"/>
      <c r="AL12" s="309"/>
    </row>
    <row r="13" spans="1:38" ht="15" customHeight="1">
      <c r="A13" s="286"/>
      <c r="B13" s="559"/>
      <c r="C13" s="285" t="s">
        <v>126</v>
      </c>
      <c r="D13" s="292" t="s">
        <v>77</v>
      </c>
      <c r="E13" s="305"/>
      <c r="F13" s="305">
        <v>14000</v>
      </c>
      <c r="G13" s="295">
        <f>ROUNDDOWN((F13/K3),)</f>
        <v>451</v>
      </c>
      <c r="H13" s="286">
        <v>40</v>
      </c>
      <c r="I13" s="286">
        <v>21</v>
      </c>
      <c r="J13" s="286">
        <v>4</v>
      </c>
      <c r="K13" s="286">
        <v>0</v>
      </c>
      <c r="L13" s="286">
        <v>4</v>
      </c>
      <c r="M13" s="286">
        <v>0</v>
      </c>
      <c r="N13" s="286">
        <v>0</v>
      </c>
      <c r="O13" s="286"/>
      <c r="P13" s="286">
        <f>SUM(I13:M13)-N13</f>
        <v>29</v>
      </c>
      <c r="Q13" s="286">
        <v>10</v>
      </c>
      <c r="R13" s="286">
        <f>IF(P13=K3,F13,P13*G13)</f>
        <v>13079</v>
      </c>
      <c r="S13" s="286">
        <f>H13*Q13</f>
        <v>400</v>
      </c>
      <c r="T13" s="217">
        <f>+R13+S13</f>
        <v>13479</v>
      </c>
      <c r="U13" s="287" t="s">
        <v>51</v>
      </c>
      <c r="V13" s="288">
        <v>0</v>
      </c>
      <c r="W13" s="288">
        <v>0</v>
      </c>
      <c r="X13" s="216">
        <v>0</v>
      </c>
      <c r="Y13" s="216">
        <v>0</v>
      </c>
      <c r="Z13" s="216">
        <v>0</v>
      </c>
      <c r="AA13" s="216">
        <v>0</v>
      </c>
      <c r="AB13" s="288">
        <f>SUM(V13:AA13)</f>
        <v>0</v>
      </c>
      <c r="AC13" s="216">
        <v>0</v>
      </c>
      <c r="AD13" s="288">
        <f>AB13-AC13</f>
        <v>0</v>
      </c>
      <c r="AE13" s="216"/>
      <c r="AF13" s="314"/>
      <c r="AG13" s="225">
        <f>T13-AC13+AF13</f>
        <v>13479</v>
      </c>
      <c r="AH13" s="289" t="s">
        <v>223</v>
      </c>
      <c r="AI13" s="216"/>
      <c r="AJ13" s="216"/>
      <c r="AK13" s="215"/>
      <c r="AL13" s="216"/>
    </row>
    <row r="14" spans="1:38" ht="15" customHeight="1">
      <c r="A14" s="286"/>
      <c r="B14" s="559"/>
      <c r="C14" s="286"/>
      <c r="D14" s="292"/>
      <c r="E14" s="313"/>
      <c r="F14" s="305"/>
      <c r="G14" s="295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20"/>
      <c r="U14" s="287"/>
      <c r="V14" s="288"/>
      <c r="W14" s="288"/>
      <c r="X14" s="216"/>
      <c r="Y14" s="216"/>
      <c r="Z14" s="216"/>
      <c r="AA14" s="216"/>
      <c r="AB14" s="286"/>
      <c r="AC14" s="288"/>
      <c r="AD14" s="216"/>
      <c r="AE14" s="216"/>
      <c r="AF14" s="314"/>
      <c r="AG14" s="225"/>
      <c r="AH14" s="315"/>
      <c r="AI14" s="290"/>
      <c r="AJ14" s="316"/>
      <c r="AK14" s="317"/>
      <c r="AL14" s="318"/>
    </row>
    <row r="15" spans="1:38" ht="15" customHeight="1">
      <c r="A15" s="547"/>
      <c r="B15" s="559"/>
      <c r="C15" s="550" t="s">
        <v>97</v>
      </c>
      <c r="D15" s="292" t="s">
        <v>77</v>
      </c>
      <c r="E15" s="313"/>
      <c r="F15" s="305">
        <v>16000</v>
      </c>
      <c r="G15" s="295">
        <f>ROUNDDOWN((F15/K3),)</f>
        <v>516</v>
      </c>
      <c r="H15" s="286">
        <v>55</v>
      </c>
      <c r="I15" s="286">
        <v>23</v>
      </c>
      <c r="J15" s="286">
        <v>1</v>
      </c>
      <c r="K15" s="286">
        <v>3</v>
      </c>
      <c r="L15" s="286">
        <v>4</v>
      </c>
      <c r="M15" s="286">
        <v>0</v>
      </c>
      <c r="N15" s="286">
        <v>0</v>
      </c>
      <c r="O15" s="286"/>
      <c r="P15" s="286">
        <f>SUM(I15:M15)-N15</f>
        <v>31</v>
      </c>
      <c r="Q15" s="286">
        <v>0</v>
      </c>
      <c r="R15" s="286">
        <f>IF(P15=K3,F15,P15*G15)</f>
        <v>16000</v>
      </c>
      <c r="S15" s="286">
        <f>H15*Q15</f>
        <v>0</v>
      </c>
      <c r="T15" s="219">
        <f>R15+S15</f>
        <v>16000</v>
      </c>
      <c r="U15" s="287" t="s">
        <v>51</v>
      </c>
      <c r="V15" s="288">
        <v>0</v>
      </c>
      <c r="W15" s="288">
        <v>0</v>
      </c>
      <c r="X15" s="216">
        <v>0</v>
      </c>
      <c r="Y15" s="216">
        <v>0</v>
      </c>
      <c r="Z15" s="216">
        <v>0</v>
      </c>
      <c r="AA15" s="216">
        <v>0</v>
      </c>
      <c r="AB15" s="288">
        <f>SUM(V15:AA15)</f>
        <v>0</v>
      </c>
      <c r="AC15" s="216">
        <v>0</v>
      </c>
      <c r="AD15" s="288">
        <f>AB15-AC15</f>
        <v>0</v>
      </c>
      <c r="AE15" s="216"/>
      <c r="AF15" s="314"/>
      <c r="AG15" s="225">
        <f>ROUNDDOWN(T15-AC15+AF15,0)</f>
        <v>16000</v>
      </c>
      <c r="AH15" s="315">
        <v>45981</v>
      </c>
      <c r="AI15" s="290"/>
      <c r="AJ15" s="316"/>
      <c r="AK15" s="317"/>
      <c r="AL15" s="318"/>
    </row>
    <row r="16" spans="1:38" ht="15" customHeight="1">
      <c r="A16" s="286"/>
      <c r="B16" s="559"/>
      <c r="C16" s="551"/>
      <c r="D16" s="292"/>
      <c r="E16" s="313"/>
      <c r="F16" s="305"/>
      <c r="G16" s="295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17"/>
      <c r="U16" s="287"/>
      <c r="V16" s="288"/>
      <c r="W16" s="288"/>
      <c r="X16" s="216"/>
      <c r="Y16" s="216"/>
      <c r="Z16" s="216"/>
      <c r="AA16" s="216"/>
      <c r="AB16" s="286"/>
      <c r="AC16" s="288"/>
      <c r="AD16" s="216"/>
      <c r="AE16" s="216"/>
      <c r="AF16" s="314"/>
      <c r="AG16" s="226"/>
      <c r="AH16" s="319"/>
      <c r="AI16" s="311"/>
      <c r="AJ16" s="312"/>
      <c r="AK16" s="307"/>
      <c r="AL16" s="309"/>
    </row>
    <row r="17" spans="1:40" ht="14.25" customHeight="1">
      <c r="A17" s="547"/>
      <c r="B17" s="559"/>
      <c r="C17" s="550" t="s">
        <v>171</v>
      </c>
      <c r="D17" s="292" t="s">
        <v>77</v>
      </c>
      <c r="E17" s="305">
        <v>1000</v>
      </c>
      <c r="F17" s="305">
        <v>16000</v>
      </c>
      <c r="G17" s="295">
        <f>ROUNDDOWN((F17/K3),)</f>
        <v>516</v>
      </c>
      <c r="H17" s="286">
        <v>40</v>
      </c>
      <c r="I17" s="286">
        <v>23</v>
      </c>
      <c r="J17" s="286">
        <v>2</v>
      </c>
      <c r="K17" s="286">
        <v>2</v>
      </c>
      <c r="L17" s="286">
        <v>4</v>
      </c>
      <c r="M17" s="286">
        <v>0</v>
      </c>
      <c r="N17" s="286">
        <v>0</v>
      </c>
      <c r="O17" s="286"/>
      <c r="P17" s="286">
        <f>SUM(I17:M17)-N17</f>
        <v>31</v>
      </c>
      <c r="Q17" s="286"/>
      <c r="R17" s="286">
        <f>IF(P17=K3,F17,P17*G17)</f>
        <v>16000</v>
      </c>
      <c r="S17" s="286">
        <f>H17*Q17</f>
        <v>0</v>
      </c>
      <c r="T17" s="219">
        <f>R17+S17</f>
        <v>16000</v>
      </c>
      <c r="U17" s="287" t="s">
        <v>51</v>
      </c>
      <c r="V17" s="288">
        <v>0</v>
      </c>
      <c r="W17" s="288">
        <v>0</v>
      </c>
      <c r="X17" s="216">
        <v>0</v>
      </c>
      <c r="Y17" s="216">
        <v>0</v>
      </c>
      <c r="Z17" s="216">
        <v>0</v>
      </c>
      <c r="AA17" s="216">
        <v>0</v>
      </c>
      <c r="AB17" s="288">
        <f>SUM(V17:AA17)</f>
        <v>0</v>
      </c>
      <c r="AC17" s="288">
        <v>0</v>
      </c>
      <c r="AD17" s="288">
        <f>AB17-AC17</f>
        <v>0</v>
      </c>
      <c r="AE17" s="320"/>
      <c r="AF17" s="314"/>
      <c r="AG17" s="228">
        <f>T17-AC17+AF17</f>
        <v>16000</v>
      </c>
      <c r="AH17" s="557">
        <v>45981</v>
      </c>
      <c r="AI17" s="216"/>
      <c r="AJ17" s="216"/>
      <c r="AK17" s="216"/>
      <c r="AL17" s="215"/>
      <c r="AM17" s="218"/>
      <c r="AN17" s="321"/>
    </row>
    <row r="18" spans="1:40" ht="15" customHeight="1">
      <c r="A18" s="286"/>
      <c r="B18" s="559"/>
      <c r="C18" s="551"/>
      <c r="D18" s="292"/>
      <c r="E18" s="313"/>
      <c r="F18" s="305"/>
      <c r="G18" s="295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17"/>
      <c r="U18" s="287"/>
      <c r="V18" s="288"/>
      <c r="W18" s="288"/>
      <c r="X18" s="216"/>
      <c r="Y18" s="216"/>
      <c r="Z18" s="216"/>
      <c r="AA18" s="216"/>
      <c r="AB18" s="286"/>
      <c r="AC18" s="288"/>
      <c r="AD18" s="216"/>
      <c r="AE18" s="216"/>
      <c r="AF18" s="314"/>
      <c r="AG18" s="225"/>
      <c r="AH18" s="289"/>
      <c r="AI18" s="216"/>
      <c r="AJ18" s="216"/>
      <c r="AK18" s="215"/>
      <c r="AL18" s="216"/>
    </row>
    <row r="19" spans="1:40" ht="14.25" customHeight="1">
      <c r="A19" s="547"/>
      <c r="B19" s="559"/>
      <c r="C19" s="550" t="s">
        <v>149</v>
      </c>
      <c r="D19" s="286" t="s">
        <v>58</v>
      </c>
      <c r="E19" s="305">
        <v>2000</v>
      </c>
      <c r="F19" s="305">
        <v>17000</v>
      </c>
      <c r="G19" s="295">
        <f>ROUNDDOWN((F19/K3),)</f>
        <v>548</v>
      </c>
      <c r="H19" s="286">
        <v>40</v>
      </c>
      <c r="I19" s="286">
        <v>23</v>
      </c>
      <c r="J19" s="286">
        <v>4</v>
      </c>
      <c r="K19" s="286">
        <v>0</v>
      </c>
      <c r="L19" s="286">
        <v>4</v>
      </c>
      <c r="M19" s="286">
        <v>0</v>
      </c>
      <c r="N19" s="286">
        <v>0</v>
      </c>
      <c r="O19" s="286"/>
      <c r="P19" s="286">
        <f>SUM(I19:M19)-N19</f>
        <v>31</v>
      </c>
      <c r="Q19" s="286">
        <v>3.5</v>
      </c>
      <c r="R19" s="286">
        <f>IF(P19=K3,F19,P19*G19)</f>
        <v>17000</v>
      </c>
      <c r="S19" s="286">
        <f>H19*Q19</f>
        <v>140</v>
      </c>
      <c r="T19" s="219">
        <f>R19+S19</f>
        <v>17140</v>
      </c>
      <c r="U19" s="287" t="s">
        <v>148</v>
      </c>
      <c r="V19" s="288">
        <v>1000</v>
      </c>
      <c r="W19" s="288">
        <v>0</v>
      </c>
      <c r="X19" s="216">
        <v>0</v>
      </c>
      <c r="Y19" s="216">
        <v>0</v>
      </c>
      <c r="Z19" s="216">
        <v>0</v>
      </c>
      <c r="AA19" s="216">
        <v>0</v>
      </c>
      <c r="AB19" s="288">
        <f>SUM(V19:AA20)</f>
        <v>6000</v>
      </c>
      <c r="AC19" s="288">
        <v>3000</v>
      </c>
      <c r="AD19" s="288">
        <f>AB19-AC19</f>
        <v>3000</v>
      </c>
      <c r="AE19" s="320"/>
      <c r="AF19" s="314"/>
      <c r="AG19" s="227">
        <f>T19-AC19+AF19</f>
        <v>14140</v>
      </c>
      <c r="AH19" s="289" t="s">
        <v>215</v>
      </c>
      <c r="AI19" s="216"/>
      <c r="AJ19" s="216"/>
      <c r="AK19" s="216"/>
      <c r="AL19" s="215"/>
      <c r="AM19" s="218"/>
      <c r="AN19" s="321"/>
    </row>
    <row r="20" spans="1:40" ht="14.25" customHeight="1">
      <c r="A20" s="286"/>
      <c r="B20" s="559"/>
      <c r="C20" s="551"/>
      <c r="D20" s="286"/>
      <c r="E20" s="305"/>
      <c r="F20" s="305"/>
      <c r="G20" s="295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17"/>
      <c r="U20" s="287">
        <v>45861</v>
      </c>
      <c r="V20" s="288">
        <v>5000</v>
      </c>
      <c r="X20" s="216"/>
      <c r="Y20" s="216"/>
      <c r="Z20" s="216"/>
      <c r="AA20" s="216"/>
      <c r="AB20" s="288"/>
      <c r="AC20" s="216"/>
      <c r="AD20" s="288"/>
      <c r="AE20" s="216"/>
      <c r="AF20" s="314"/>
      <c r="AG20" s="225"/>
      <c r="AH20" s="322"/>
      <c r="AI20" s="216"/>
      <c r="AJ20" s="216"/>
      <c r="AK20" s="215"/>
      <c r="AL20" s="216"/>
      <c r="AM20" s="323"/>
    </row>
    <row r="21" spans="1:40" ht="14.25" customHeight="1">
      <c r="A21" s="286"/>
      <c r="B21" s="559"/>
      <c r="C21" s="551"/>
      <c r="D21" s="286"/>
      <c r="E21" s="305"/>
      <c r="F21" s="305"/>
      <c r="G21" s="295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17"/>
      <c r="U21" s="287"/>
      <c r="V21" s="288"/>
      <c r="W21" s="288"/>
      <c r="X21" s="216"/>
      <c r="Y21" s="216"/>
      <c r="Z21" s="216"/>
      <c r="AA21" s="216"/>
      <c r="AB21" s="288"/>
      <c r="AC21" s="216"/>
      <c r="AD21" s="288"/>
      <c r="AE21" s="216"/>
      <c r="AF21" s="314"/>
      <c r="AG21" s="225"/>
      <c r="AH21" s="324"/>
      <c r="AI21" s="216"/>
      <c r="AJ21" s="216"/>
      <c r="AK21" s="215"/>
      <c r="AL21" s="216"/>
      <c r="AM21" s="323"/>
    </row>
    <row r="22" spans="1:40" ht="14.25" customHeight="1">
      <c r="A22" s="547"/>
      <c r="B22" s="559"/>
      <c r="C22" s="550" t="s">
        <v>98</v>
      </c>
      <c r="D22" s="286" t="s">
        <v>50</v>
      </c>
      <c r="E22" s="305"/>
      <c r="F22" s="305">
        <v>12500</v>
      </c>
      <c r="G22" s="295">
        <f>ROUNDDOWN((F22/K3),)</f>
        <v>403</v>
      </c>
      <c r="H22" s="286">
        <v>40</v>
      </c>
      <c r="I22" s="291">
        <v>17.5</v>
      </c>
      <c r="J22" s="286">
        <v>3</v>
      </c>
      <c r="K22" s="286">
        <v>0</v>
      </c>
      <c r="L22" s="286">
        <v>4</v>
      </c>
      <c r="M22" s="286">
        <v>0</v>
      </c>
      <c r="N22" s="286">
        <v>0</v>
      </c>
      <c r="O22" s="286"/>
      <c r="P22" s="286">
        <f>SUM(I22:M22)-N22</f>
        <v>24.5</v>
      </c>
      <c r="Q22" s="325">
        <v>0</v>
      </c>
      <c r="R22" s="286">
        <f>IF(P22=K3,F22,P22*G22)</f>
        <v>9873.5</v>
      </c>
      <c r="S22" s="286">
        <f>H22*Q22</f>
        <v>0</v>
      </c>
      <c r="T22" s="217">
        <f>+R22+S22</f>
        <v>9873.5</v>
      </c>
      <c r="U22" s="287" t="s">
        <v>51</v>
      </c>
      <c r="V22" s="288">
        <v>0</v>
      </c>
      <c r="W22" s="288">
        <v>0</v>
      </c>
      <c r="X22" s="216">
        <v>0</v>
      </c>
      <c r="Y22" s="216">
        <v>0</v>
      </c>
      <c r="Z22" s="216">
        <v>0</v>
      </c>
      <c r="AA22" s="216">
        <v>0</v>
      </c>
      <c r="AB22" s="288">
        <f>SUM(V22:AA22)</f>
        <v>0</v>
      </c>
      <c r="AC22" s="216">
        <v>0</v>
      </c>
      <c r="AD22" s="288">
        <f>AB22-AC22</f>
        <v>0</v>
      </c>
      <c r="AE22" s="216"/>
      <c r="AF22" s="314"/>
      <c r="AG22" s="225">
        <f>T22-AC22+AF22</f>
        <v>9873.5</v>
      </c>
      <c r="AH22" s="289" t="s">
        <v>223</v>
      </c>
      <c r="AI22" s="216"/>
      <c r="AJ22" s="216"/>
      <c r="AK22" s="216"/>
      <c r="AL22" s="215"/>
    </row>
    <row r="23" spans="1:40" ht="14.25" customHeight="1">
      <c r="A23" s="286"/>
      <c r="B23" s="559"/>
      <c r="C23" s="285"/>
      <c r="D23" s="286"/>
      <c r="E23" s="305"/>
      <c r="F23" s="305"/>
      <c r="G23" s="295"/>
      <c r="H23" s="286"/>
      <c r="I23" s="286"/>
      <c r="J23" s="286"/>
      <c r="K23" s="286"/>
      <c r="L23" s="286"/>
      <c r="M23" s="286"/>
      <c r="N23" s="286"/>
      <c r="O23" s="286"/>
      <c r="P23" s="286"/>
      <c r="Q23" s="325"/>
      <c r="R23" s="286"/>
      <c r="S23" s="286"/>
      <c r="T23" s="217"/>
      <c r="U23" s="287"/>
      <c r="V23" s="288"/>
      <c r="W23" s="288"/>
      <c r="X23" s="216"/>
      <c r="Y23" s="216"/>
      <c r="Z23" s="216"/>
      <c r="AA23" s="216"/>
      <c r="AB23" s="347"/>
      <c r="AC23" s="348"/>
      <c r="AD23" s="288"/>
      <c r="AE23" s="216"/>
      <c r="AF23" s="314"/>
      <c r="AG23" s="225"/>
      <c r="AH23" s="289"/>
      <c r="AI23" s="216"/>
      <c r="AJ23" s="216"/>
      <c r="AK23" s="215"/>
      <c r="AL23" s="216"/>
      <c r="AM23" s="323"/>
    </row>
    <row r="24" spans="1:40" ht="14.4">
      <c r="A24" s="547"/>
      <c r="B24" s="559"/>
      <c r="C24" s="285" t="s">
        <v>99</v>
      </c>
      <c r="D24" s="286" t="s">
        <v>50</v>
      </c>
      <c r="E24" s="305"/>
      <c r="F24" s="305">
        <v>12500</v>
      </c>
      <c r="G24" s="286">
        <f>ROUNDDOWN((F24/K3),)</f>
        <v>403</v>
      </c>
      <c r="H24" s="286">
        <v>40</v>
      </c>
      <c r="I24" s="291">
        <v>19.5</v>
      </c>
      <c r="J24" s="286">
        <v>4</v>
      </c>
      <c r="K24" s="286">
        <v>0</v>
      </c>
      <c r="L24" s="286">
        <v>4</v>
      </c>
      <c r="M24" s="286">
        <v>0</v>
      </c>
      <c r="N24" s="286">
        <v>0</v>
      </c>
      <c r="O24" s="286"/>
      <c r="P24" s="286">
        <f>SUM(I24:M24)-N24</f>
        <v>27.5</v>
      </c>
      <c r="Q24" s="286"/>
      <c r="R24" s="286">
        <f>IF(P24=K3,F24,P24*G24)</f>
        <v>11082.5</v>
      </c>
      <c r="S24" s="286">
        <f>H24*Q24</f>
        <v>0</v>
      </c>
      <c r="T24" s="217">
        <f>+R24+S24</f>
        <v>11082.5</v>
      </c>
      <c r="U24" s="287">
        <v>45960</v>
      </c>
      <c r="V24" s="288">
        <v>1200</v>
      </c>
      <c r="W24" s="288">
        <v>0</v>
      </c>
      <c r="X24" s="216">
        <v>0</v>
      </c>
      <c r="Y24" s="216">
        <v>0</v>
      </c>
      <c r="Z24" s="216">
        <v>0</v>
      </c>
      <c r="AA24" s="216">
        <v>0</v>
      </c>
      <c r="AB24" s="288">
        <f>SUM(V24:AA24)</f>
        <v>1200</v>
      </c>
      <c r="AC24" s="446">
        <v>1200</v>
      </c>
      <c r="AD24" s="288">
        <f>AB24-AC24</f>
        <v>0</v>
      </c>
      <c r="AE24" s="216"/>
      <c r="AF24" s="314"/>
      <c r="AG24" s="225">
        <f>T24-AC24+AF24</f>
        <v>9882.5</v>
      </c>
      <c r="AH24" s="289" t="s">
        <v>223</v>
      </c>
      <c r="AI24" s="216"/>
      <c r="AJ24" s="216"/>
      <c r="AK24" s="216"/>
      <c r="AL24" s="215"/>
    </row>
    <row r="25" spans="1:40" ht="14.4">
      <c r="A25" s="278"/>
      <c r="B25" s="278"/>
      <c r="C25" s="279"/>
      <c r="D25" s="278"/>
      <c r="E25" s="278"/>
      <c r="F25" s="278"/>
      <c r="G25" s="278"/>
      <c r="H25" s="278"/>
      <c r="I25" s="326"/>
      <c r="J25" s="278"/>
      <c r="K25" s="278"/>
      <c r="L25" s="278"/>
      <c r="M25" s="278"/>
      <c r="N25" s="278"/>
      <c r="O25" s="278"/>
      <c r="P25" s="278"/>
      <c r="Q25" s="278"/>
      <c r="R25" s="278"/>
      <c r="S25" s="278"/>
      <c r="T25" s="279"/>
      <c r="U25" s="327"/>
      <c r="V25" s="328"/>
      <c r="W25" s="328"/>
      <c r="X25" s="224"/>
      <c r="Y25" s="224"/>
      <c r="Z25" s="224"/>
      <c r="AA25" s="224"/>
      <c r="AB25" s="328"/>
      <c r="AC25" s="224"/>
      <c r="AD25" s="328"/>
      <c r="AE25" s="224"/>
      <c r="AF25" s="329"/>
      <c r="AG25" s="330"/>
      <c r="AH25" s="331"/>
      <c r="AI25" s="224"/>
      <c r="AJ25" s="224"/>
      <c r="AK25" s="224"/>
      <c r="AL25" s="332"/>
    </row>
    <row r="26" spans="1:40" ht="14.4">
      <c r="A26" s="278"/>
      <c r="B26" s="278"/>
      <c r="C26" s="279"/>
      <c r="D26" s="278"/>
      <c r="E26" s="278"/>
      <c r="F26" s="278"/>
      <c r="G26" s="278"/>
      <c r="H26" s="278"/>
      <c r="I26" s="326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9"/>
      <c r="U26" s="327"/>
      <c r="V26" s="328"/>
      <c r="W26" s="328"/>
      <c r="X26" s="224"/>
      <c r="Y26" s="224"/>
      <c r="Z26" s="224"/>
      <c r="AA26" s="224"/>
      <c r="AB26" s="328"/>
      <c r="AC26" s="224"/>
      <c r="AD26" s="328"/>
      <c r="AE26" s="224"/>
      <c r="AF26" s="329"/>
      <c r="AG26" s="330"/>
      <c r="AH26" s="331"/>
      <c r="AI26" s="224"/>
      <c r="AJ26" s="224"/>
      <c r="AK26" s="224"/>
      <c r="AL26" s="332"/>
    </row>
    <row r="27" spans="1:40" ht="14.4">
      <c r="A27" s="278"/>
      <c r="B27" s="278"/>
      <c r="C27" s="279"/>
      <c r="D27" s="278"/>
      <c r="E27" s="278"/>
      <c r="F27" s="278"/>
      <c r="G27" s="278"/>
      <c r="H27" s="278"/>
      <c r="I27" s="326"/>
      <c r="J27" s="278"/>
      <c r="K27" s="278"/>
      <c r="L27" s="278"/>
      <c r="M27" s="278"/>
      <c r="N27" s="278"/>
      <c r="O27" s="278"/>
      <c r="P27" s="278"/>
      <c r="Q27" s="278"/>
      <c r="R27" s="278"/>
      <c r="S27" s="278"/>
      <c r="T27" s="279"/>
      <c r="U27" s="327"/>
      <c r="V27" s="328"/>
      <c r="W27" s="328"/>
      <c r="X27" s="224"/>
      <c r="Y27" s="224"/>
      <c r="Z27" s="224"/>
      <c r="AA27" s="224"/>
      <c r="AB27" s="328"/>
      <c r="AC27" s="224"/>
      <c r="AD27" s="328"/>
      <c r="AE27" s="224"/>
      <c r="AF27" s="329"/>
      <c r="AG27" s="330"/>
      <c r="AH27" s="331"/>
      <c r="AI27" s="224"/>
      <c r="AJ27" s="224"/>
      <c r="AK27" s="224"/>
      <c r="AL27" s="332"/>
    </row>
    <row r="28" spans="1:40" ht="14.25" customHeight="1">
      <c r="C28" s="279"/>
      <c r="T28" s="170">
        <f>SUM(T10:T24)</f>
        <v>96654</v>
      </c>
      <c r="AG28" s="170">
        <f>SUM(AG10:AG24)</f>
        <v>92454</v>
      </c>
    </row>
    <row r="29" spans="1:40" ht="14.25" customHeight="1"/>
    <row r="30" spans="1:40" ht="14.25" customHeight="1">
      <c r="C30" s="279"/>
      <c r="T30" s="170">
        <f>T28+Min_LO!P18</f>
        <v>144712.5</v>
      </c>
    </row>
    <row r="31" spans="1:40" ht="14.25" customHeight="1"/>
    <row r="32" spans="1:4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36">
    <mergeCell ref="P8:P9"/>
    <mergeCell ref="W8:X8"/>
    <mergeCell ref="Y8:Y9"/>
    <mergeCell ref="Z8:Z9"/>
    <mergeCell ref="R7:R9"/>
    <mergeCell ref="S7:S9"/>
    <mergeCell ref="T7:T9"/>
    <mergeCell ref="U8:V8"/>
    <mergeCell ref="A7:A8"/>
    <mergeCell ref="C7:C8"/>
    <mergeCell ref="D7:D8"/>
    <mergeCell ref="E7:E8"/>
    <mergeCell ref="F7:F8"/>
    <mergeCell ref="L8:L9"/>
    <mergeCell ref="M8:M9"/>
    <mergeCell ref="O8:O9"/>
    <mergeCell ref="AL7:AL9"/>
    <mergeCell ref="AK8:AK9"/>
    <mergeCell ref="AA8:AA9"/>
    <mergeCell ref="AB8:AB9"/>
    <mergeCell ref="AC8:AC9"/>
    <mergeCell ref="AC7:AD7"/>
    <mergeCell ref="AE7:AF7"/>
    <mergeCell ref="N8:N9"/>
    <mergeCell ref="I7:P7"/>
    <mergeCell ref="I8:I9"/>
    <mergeCell ref="J8:J9"/>
    <mergeCell ref="K8:K9"/>
    <mergeCell ref="Q7:Q9"/>
    <mergeCell ref="AH7:AJ7"/>
    <mergeCell ref="AF8:AF9"/>
    <mergeCell ref="AI8:AJ8"/>
    <mergeCell ref="AD8:AD9"/>
    <mergeCell ref="AE8:AE9"/>
    <mergeCell ref="AG7:AG9"/>
    <mergeCell ref="AH8:AH9"/>
  </mergeCells>
  <dataValidations disablePrompts="1" count="2">
    <dataValidation type="list" allowBlank="1" showErrorMessage="1" sqref="AJ22 AI23 AJ24:AJ27 AI18 AI13:AI15 AI10 AJ19 AJ17 AI20:AI21" xr:uid="{00000000-0002-0000-0A00-000001000000}">
      <formula1>"Own,Other"</formula1>
    </dataValidation>
    <dataValidation type="list" allowBlank="1" showErrorMessage="1" sqref="AL23 AL18 AL13:AL15 AL10 AL20:AL21" xr:uid="{00000000-0002-0000-0A00-000000000000}">
      <formula1>"Working,Left"</formula1>
    </dataValidation>
  </dataValidations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DC9D-4F8B-4BA0-8DC7-17D427B333D9}">
  <sheetPr>
    <tabColor rgb="FF7030A0"/>
  </sheetPr>
  <dimension ref="A1:AS25"/>
  <sheetViews>
    <sheetView workbookViewId="0">
      <selection activeCell="AG16" sqref="AG16"/>
    </sheetView>
  </sheetViews>
  <sheetFormatPr defaultColWidth="9.109375" defaultRowHeight="15" customHeight="1"/>
  <cols>
    <col min="1" max="1" width="3.6640625" style="170" customWidth="1"/>
    <col min="2" max="2" width="11.5546875" style="170" customWidth="1"/>
    <col min="3" max="3" width="9.33203125" style="170" hidden="1" customWidth="1"/>
    <col min="4" max="4" width="7.5546875" style="170" customWidth="1"/>
    <col min="5" max="5" width="7.33203125" style="170" customWidth="1"/>
    <col min="6" max="6" width="4.88671875" style="170" bestFit="1" customWidth="1"/>
    <col min="7" max="7" width="5.6640625" style="170" bestFit="1" customWidth="1"/>
    <col min="8" max="8" width="5" style="170" bestFit="1" customWidth="1"/>
    <col min="9" max="9" width="4.33203125" style="170" bestFit="1" customWidth="1"/>
    <col min="10" max="10" width="5.109375" style="170" bestFit="1" customWidth="1"/>
    <col min="11" max="11" width="3.44140625" style="170" bestFit="1" customWidth="1"/>
    <col min="12" max="14" width="3.44140625" style="170" customWidth="1"/>
    <col min="15" max="15" width="6.44140625" style="170" bestFit="1" customWidth="1"/>
    <col min="16" max="16" width="6" style="170" bestFit="1" customWidth="1"/>
    <col min="17" max="17" width="6.33203125" style="170" bestFit="1" customWidth="1"/>
    <col min="18" max="18" width="5.33203125" style="170" bestFit="1" customWidth="1"/>
    <col min="19" max="19" width="6.88671875" style="170" customWidth="1"/>
    <col min="20" max="20" width="10.44140625" style="170" bestFit="1" customWidth="1"/>
    <col min="21" max="21" width="8.33203125" style="170" customWidth="1"/>
    <col min="22" max="22" width="5" style="170" bestFit="1" customWidth="1"/>
    <col min="23" max="23" width="4.88671875" style="170" bestFit="1" customWidth="1"/>
    <col min="24" max="24" width="6" style="170" bestFit="1" customWidth="1"/>
    <col min="25" max="25" width="2.6640625" style="170" bestFit="1" customWidth="1"/>
    <col min="26" max="26" width="6.6640625" style="170" customWidth="1"/>
    <col min="27" max="27" width="6" style="170" bestFit="1" customWidth="1"/>
    <col min="28" max="28" width="7.6640625" style="170" customWidth="1"/>
    <col min="29" max="29" width="9.33203125" style="170" customWidth="1"/>
    <col min="30" max="30" width="6.6640625" style="170" customWidth="1"/>
    <col min="31" max="31" width="10.44140625" style="170" bestFit="1" customWidth="1"/>
    <col min="32" max="32" width="9.33203125" style="170" bestFit="1" customWidth="1"/>
    <col min="33" max="33" width="10.44140625" style="170" bestFit="1" customWidth="1"/>
    <col min="34" max="34" width="11.5546875" style="170" bestFit="1" customWidth="1"/>
    <col min="35" max="35" width="11.109375" style="170" bestFit="1" customWidth="1"/>
    <col min="36" max="16384" width="9.109375" style="170"/>
  </cols>
  <sheetData>
    <row r="1" spans="1:45" ht="18.75" customHeight="1">
      <c r="A1" s="208"/>
      <c r="B1" s="208" t="s">
        <v>0</v>
      </c>
      <c r="C1" s="208"/>
    </row>
    <row r="3" spans="1:45" ht="15.75" customHeight="1">
      <c r="B3" s="205" t="s">
        <v>1</v>
      </c>
      <c r="C3" s="205"/>
      <c r="D3" s="205"/>
      <c r="E3" s="207" t="s">
        <v>81</v>
      </c>
    </row>
    <row r="4" spans="1:45" ht="14.4">
      <c r="B4" s="205" t="s">
        <v>3</v>
      </c>
      <c r="C4" s="205"/>
      <c r="D4" s="205"/>
      <c r="E4" s="206" t="s">
        <v>178</v>
      </c>
      <c r="G4" s="170">
        <v>31</v>
      </c>
    </row>
    <row r="5" spans="1:45" ht="15" customHeight="1" thickBot="1">
      <c r="B5" s="205" t="s">
        <v>4</v>
      </c>
      <c r="C5" s="205"/>
      <c r="D5" s="205"/>
      <c r="E5" s="204" t="s">
        <v>5</v>
      </c>
    </row>
    <row r="6" spans="1:45" ht="29.4" thickBot="1">
      <c r="Z6" s="203"/>
      <c r="AA6" s="203"/>
      <c r="AB6" s="203"/>
      <c r="AC6" s="203"/>
      <c r="AD6" s="203"/>
      <c r="AE6" s="203"/>
      <c r="AF6" s="203"/>
      <c r="AG6" s="203"/>
      <c r="AJ6" s="196"/>
      <c r="AK6" s="200"/>
      <c r="AL6" s="199"/>
      <c r="AM6" s="202"/>
      <c r="AN6" s="202"/>
      <c r="AO6" s="202" t="s">
        <v>62</v>
      </c>
      <c r="AP6" s="201"/>
      <c r="AQ6" s="201"/>
      <c r="AR6" s="200"/>
      <c r="AS6" s="198" t="s">
        <v>24</v>
      </c>
    </row>
    <row r="7" spans="1:45" ht="15" customHeight="1">
      <c r="A7" s="689" t="s">
        <v>54</v>
      </c>
      <c r="B7" s="689" t="s">
        <v>8</v>
      </c>
      <c r="C7" s="691" t="s">
        <v>82</v>
      </c>
      <c r="D7" s="693" t="s">
        <v>9</v>
      </c>
      <c r="E7" s="690" t="s">
        <v>10</v>
      </c>
      <c r="F7" s="177"/>
      <c r="G7" s="177"/>
      <c r="H7" s="686" t="s">
        <v>13</v>
      </c>
      <c r="I7" s="687"/>
      <c r="J7" s="687"/>
      <c r="K7" s="687"/>
      <c r="L7" s="688"/>
      <c r="M7" s="526"/>
      <c r="N7" s="526"/>
      <c r="O7" s="199"/>
      <c r="P7" s="695" t="s">
        <v>55</v>
      </c>
      <c r="Q7" s="695" t="s">
        <v>15</v>
      </c>
      <c r="R7" s="695" t="s">
        <v>16</v>
      </c>
      <c r="S7" s="714" t="s">
        <v>56</v>
      </c>
      <c r="T7" s="717" t="s">
        <v>19</v>
      </c>
      <c r="U7" s="717"/>
      <c r="V7" s="717"/>
      <c r="W7" s="717"/>
      <c r="X7" s="717"/>
      <c r="Y7" s="717"/>
      <c r="Z7" s="717"/>
      <c r="AA7" s="718"/>
      <c r="AB7" s="719" t="s">
        <v>20</v>
      </c>
      <c r="AC7" s="717"/>
      <c r="AD7" s="720" t="s">
        <v>21</v>
      </c>
      <c r="AE7" s="721"/>
      <c r="AF7" s="717" t="s">
        <v>22</v>
      </c>
      <c r="AG7" s="697" t="s">
        <v>23</v>
      </c>
      <c r="AH7" s="697"/>
      <c r="AI7" s="698"/>
      <c r="AJ7" s="699" t="s">
        <v>43</v>
      </c>
      <c r="AK7" s="702" t="s">
        <v>24</v>
      </c>
    </row>
    <row r="8" spans="1:45" ht="14.4" customHeight="1">
      <c r="A8" s="690"/>
      <c r="B8" s="690"/>
      <c r="C8" s="692"/>
      <c r="D8" s="694"/>
      <c r="E8" s="690"/>
      <c r="F8" s="197" t="s">
        <v>11</v>
      </c>
      <c r="G8" s="197" t="s">
        <v>12</v>
      </c>
      <c r="H8" s="177" t="s">
        <v>25</v>
      </c>
      <c r="I8" s="177" t="s">
        <v>26</v>
      </c>
      <c r="J8" s="177" t="s">
        <v>27</v>
      </c>
      <c r="K8" s="177" t="s">
        <v>28</v>
      </c>
      <c r="L8" s="177" t="s">
        <v>29</v>
      </c>
      <c r="M8" s="527" t="s">
        <v>217</v>
      </c>
      <c r="N8" s="527" t="s">
        <v>218</v>
      </c>
      <c r="O8" s="196" t="s">
        <v>30</v>
      </c>
      <c r="P8" s="696"/>
      <c r="Q8" s="696"/>
      <c r="R8" s="696"/>
      <c r="S8" s="715"/>
      <c r="T8" s="709" t="s">
        <v>31</v>
      </c>
      <c r="U8" s="709"/>
      <c r="V8" s="710" t="s">
        <v>32</v>
      </c>
      <c r="W8" s="711"/>
      <c r="X8" s="709" t="s">
        <v>33</v>
      </c>
      <c r="Y8" s="709" t="s">
        <v>34</v>
      </c>
      <c r="Z8" s="709" t="s">
        <v>35</v>
      </c>
      <c r="AA8" s="710" t="s">
        <v>36</v>
      </c>
      <c r="AB8" s="726" t="s">
        <v>37</v>
      </c>
      <c r="AC8" s="709" t="s">
        <v>38</v>
      </c>
      <c r="AD8" s="728" t="s">
        <v>39</v>
      </c>
      <c r="AE8" s="728" t="s">
        <v>40</v>
      </c>
      <c r="AF8" s="722"/>
      <c r="AG8" s="705" t="s">
        <v>41</v>
      </c>
      <c r="AH8" s="707" t="s">
        <v>42</v>
      </c>
      <c r="AI8" s="708"/>
      <c r="AJ8" s="700"/>
      <c r="AK8" s="703"/>
    </row>
    <row r="9" spans="1:45" ht="15" customHeight="1" thickBot="1">
      <c r="O9" s="195"/>
      <c r="P9" s="696"/>
      <c r="Q9" s="696"/>
      <c r="R9" s="696"/>
      <c r="S9" s="716"/>
      <c r="T9" s="194" t="s">
        <v>44</v>
      </c>
      <c r="U9" s="194" t="s">
        <v>45</v>
      </c>
      <c r="V9" s="194" t="s">
        <v>46</v>
      </c>
      <c r="W9" s="194" t="s">
        <v>47</v>
      </c>
      <c r="X9" s="712"/>
      <c r="Y9" s="712"/>
      <c r="Z9" s="712"/>
      <c r="AA9" s="713"/>
      <c r="AB9" s="727"/>
      <c r="AC9" s="712"/>
      <c r="AD9" s="729"/>
      <c r="AE9" s="729"/>
      <c r="AF9" s="723"/>
      <c r="AG9" s="706"/>
      <c r="AH9" s="193"/>
      <c r="AI9" s="192" t="s">
        <v>48</v>
      </c>
      <c r="AJ9" s="701"/>
      <c r="AK9" s="704"/>
    </row>
    <row r="10" spans="1:45" s="275" customFormat="1" ht="15.6">
      <c r="A10" s="265">
        <v>4</v>
      </c>
      <c r="B10" s="554" t="s">
        <v>83</v>
      </c>
      <c r="C10" s="265">
        <v>2000</v>
      </c>
      <c r="D10" s="265" t="s">
        <v>50</v>
      </c>
      <c r="E10" s="265">
        <v>13000</v>
      </c>
      <c r="F10" s="265">
        <f>ROUNDDOWN((E10/G4),)</f>
        <v>419</v>
      </c>
      <c r="G10" s="265">
        <f>ROUNDDOWN((E10/G4/9),)</f>
        <v>46</v>
      </c>
      <c r="H10" s="265">
        <v>26</v>
      </c>
      <c r="I10" s="265">
        <v>4</v>
      </c>
      <c r="J10" s="265">
        <v>0</v>
      </c>
      <c r="K10" s="265">
        <v>2</v>
      </c>
      <c r="L10" s="265">
        <v>0</v>
      </c>
      <c r="M10" s="265">
        <v>2</v>
      </c>
      <c r="N10" s="265"/>
      <c r="O10" s="265">
        <f>SUM(H10:M10)</f>
        <v>34</v>
      </c>
      <c r="P10" s="265">
        <v>9</v>
      </c>
      <c r="Q10" s="266">
        <f>IF(O10=G4,E10,O10*F10)</f>
        <v>14246</v>
      </c>
      <c r="R10" s="265">
        <f>G10*P10</f>
        <v>414</v>
      </c>
      <c r="S10" s="267">
        <f>+Q10+R10</f>
        <v>14660</v>
      </c>
      <c r="T10" s="268" t="s">
        <v>164</v>
      </c>
      <c r="U10" s="269">
        <v>4367</v>
      </c>
      <c r="V10" s="270">
        <v>0</v>
      </c>
      <c r="W10" s="266">
        <v>0</v>
      </c>
      <c r="X10" s="266">
        <v>0</v>
      </c>
      <c r="Y10" s="266">
        <v>0</v>
      </c>
      <c r="Z10" s="266">
        <v>0</v>
      </c>
      <c r="AA10" s="724">
        <f>SUM(U10:Z10)+U11</f>
        <v>5367</v>
      </c>
      <c r="AB10" s="266">
        <v>3000</v>
      </c>
      <c r="AC10" s="271">
        <f>AA10-AB10</f>
        <v>2367</v>
      </c>
      <c r="AD10" s="272"/>
      <c r="AE10" s="270"/>
      <c r="AF10" s="274">
        <f>S10-AB10+AE10</f>
        <v>11660</v>
      </c>
      <c r="AG10" s="289" t="s">
        <v>223</v>
      </c>
      <c r="AH10" s="266"/>
      <c r="AI10" s="266"/>
      <c r="AJ10" s="178"/>
      <c r="AK10" s="266" t="s">
        <v>52</v>
      </c>
    </row>
    <row r="11" spans="1:45" s="275" customFormat="1" ht="14.4">
      <c r="A11" s="265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6"/>
      <c r="R11" s="265"/>
      <c r="S11" s="267"/>
      <c r="T11" s="268">
        <v>45887</v>
      </c>
      <c r="U11" s="269">
        <v>1000</v>
      </c>
      <c r="V11" s="270"/>
      <c r="W11" s="266"/>
      <c r="X11" s="266"/>
      <c r="Y11" s="266"/>
      <c r="Z11" s="266"/>
      <c r="AA11" s="725"/>
      <c r="AB11" s="266"/>
      <c r="AC11" s="270"/>
      <c r="AD11" s="266"/>
      <c r="AE11" s="270"/>
      <c r="AF11" s="270"/>
      <c r="AG11" s="273"/>
      <c r="AH11" s="266"/>
      <c r="AI11" s="266"/>
      <c r="AJ11" s="178"/>
      <c r="AK11" s="266"/>
    </row>
    <row r="12" spans="1:45" s="182" customFormat="1" ht="31.2" customHeight="1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83"/>
      <c r="R12" s="191"/>
      <c r="S12" s="190"/>
      <c r="T12" s="189"/>
      <c r="U12" s="188"/>
      <c r="V12" s="186"/>
      <c r="W12" s="183"/>
      <c r="X12" s="183"/>
      <c r="Y12" s="183"/>
      <c r="Z12" s="183"/>
      <c r="AA12" s="187"/>
      <c r="AB12" s="183"/>
      <c r="AC12" s="186"/>
      <c r="AD12" s="183"/>
      <c r="AE12" s="186"/>
      <c r="AF12" s="186"/>
      <c r="AG12" s="185"/>
      <c r="AH12" s="183"/>
      <c r="AI12" s="183"/>
      <c r="AJ12" s="184"/>
      <c r="AK12" s="183"/>
    </row>
    <row r="13" spans="1:45" ht="14.4">
      <c r="A13" s="177">
        <v>3</v>
      </c>
      <c r="B13" s="553" t="s">
        <v>128</v>
      </c>
      <c r="C13" s="177">
        <v>2000</v>
      </c>
      <c r="D13" s="177" t="s">
        <v>50</v>
      </c>
      <c r="E13" s="177">
        <v>13000</v>
      </c>
      <c r="F13" s="177">
        <f>ROUNDDOWN((E13/G4),)</f>
        <v>419</v>
      </c>
      <c r="G13" s="177">
        <f>ROUNDDOWN((E13/G4/9),)</f>
        <v>46</v>
      </c>
      <c r="H13" s="177">
        <v>26</v>
      </c>
      <c r="I13" s="177">
        <v>4</v>
      </c>
      <c r="J13" s="177">
        <v>0</v>
      </c>
      <c r="K13" s="177">
        <v>2</v>
      </c>
      <c r="L13" s="177">
        <v>0</v>
      </c>
      <c r="M13" s="177">
        <v>1</v>
      </c>
      <c r="N13" s="177"/>
      <c r="O13" s="177">
        <f>SUM(H13:M13)</f>
        <v>33</v>
      </c>
      <c r="P13" s="177">
        <v>9</v>
      </c>
      <c r="Q13" s="173">
        <f>ROUNDDOWN(IF(O13=G4,E13,O13*F13),0)</f>
        <v>13827</v>
      </c>
      <c r="R13" s="177">
        <f>G13*P13</f>
        <v>414</v>
      </c>
      <c r="S13" s="176">
        <f>+Q13+R13</f>
        <v>14241</v>
      </c>
      <c r="T13" s="175">
        <v>45853</v>
      </c>
      <c r="U13" s="174">
        <v>10000</v>
      </c>
      <c r="V13" s="172">
        <v>0</v>
      </c>
      <c r="W13" s="173">
        <v>0</v>
      </c>
      <c r="X13" s="173">
        <v>0</v>
      </c>
      <c r="Y13" s="173">
        <v>0</v>
      </c>
      <c r="Z13" s="173">
        <v>0</v>
      </c>
      <c r="AA13" s="174">
        <f>SUM(U13:Z13)</f>
        <v>10000</v>
      </c>
      <c r="AB13" s="173">
        <v>5000</v>
      </c>
      <c r="AC13" s="172">
        <f>AA13-AB13</f>
        <v>5000</v>
      </c>
      <c r="AD13" s="429" t="s">
        <v>185</v>
      </c>
      <c r="AE13" s="172"/>
      <c r="AF13" s="209">
        <f>S13-AB13+AE13</f>
        <v>9241</v>
      </c>
      <c r="AG13" s="289" t="s">
        <v>223</v>
      </c>
      <c r="AH13" s="173"/>
      <c r="AI13" s="173"/>
      <c r="AJ13" s="178"/>
      <c r="AK13" s="173" t="s">
        <v>52</v>
      </c>
    </row>
    <row r="14" spans="1:45" ht="14.4">
      <c r="A14" s="177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3"/>
      <c r="R14" s="177"/>
      <c r="S14" s="176"/>
      <c r="T14" s="175"/>
      <c r="U14" s="174"/>
      <c r="V14" s="172"/>
      <c r="W14" s="173"/>
      <c r="X14" s="173"/>
      <c r="Y14" s="173"/>
      <c r="Z14" s="173"/>
      <c r="AA14" s="181"/>
      <c r="AB14" s="173"/>
      <c r="AC14" s="172"/>
      <c r="AD14" s="173"/>
      <c r="AE14" s="172"/>
      <c r="AF14" s="172"/>
      <c r="AG14" s="171"/>
      <c r="AH14" s="173"/>
      <c r="AI14" s="173"/>
      <c r="AJ14" s="178"/>
      <c r="AK14" s="173"/>
    </row>
    <row r="15" spans="1:45" ht="14.4">
      <c r="A15" s="177">
        <v>1</v>
      </c>
      <c r="B15" s="552" t="s">
        <v>84</v>
      </c>
      <c r="C15" s="177">
        <v>2000</v>
      </c>
      <c r="D15" s="177" t="s">
        <v>50</v>
      </c>
      <c r="E15" s="177">
        <v>13000</v>
      </c>
      <c r="F15" s="177">
        <f>ROUNDDOWN((E15/G4),)</f>
        <v>419</v>
      </c>
      <c r="G15" s="177">
        <v>35</v>
      </c>
      <c r="H15" s="177">
        <v>21</v>
      </c>
      <c r="I15" s="177">
        <v>3</v>
      </c>
      <c r="J15" s="177">
        <v>0</v>
      </c>
      <c r="K15" s="177">
        <v>2</v>
      </c>
      <c r="L15" s="177">
        <v>0</v>
      </c>
      <c r="M15" s="177"/>
      <c r="N15" s="177"/>
      <c r="O15" s="177">
        <f>SUM(H15:L15)</f>
        <v>26</v>
      </c>
      <c r="P15" s="177">
        <v>29</v>
      </c>
      <c r="Q15" s="173">
        <f>IF(O15=G4,E15,O15*F15)</f>
        <v>10894</v>
      </c>
      <c r="R15" s="177">
        <f>G15*P15</f>
        <v>1015</v>
      </c>
      <c r="S15" s="176">
        <f>Q15+R15</f>
        <v>11909</v>
      </c>
      <c r="T15" s="175" t="s">
        <v>51</v>
      </c>
      <c r="U15" s="174">
        <v>0</v>
      </c>
      <c r="V15" s="172">
        <v>0</v>
      </c>
      <c r="W15" s="173">
        <v>0</v>
      </c>
      <c r="X15" s="173">
        <v>0</v>
      </c>
      <c r="Y15" s="173">
        <v>0</v>
      </c>
      <c r="Z15" s="173">
        <v>0</v>
      </c>
      <c r="AA15" s="174">
        <f>SUM(U15:Z15)</f>
        <v>0</v>
      </c>
      <c r="AB15" s="173">
        <v>0</v>
      </c>
      <c r="AC15" s="172">
        <f>AA15-AB15</f>
        <v>0</v>
      </c>
      <c r="AD15" s="173"/>
      <c r="AE15" s="172"/>
      <c r="AF15" s="209">
        <f>S15-AB15+AE15</f>
        <v>11909</v>
      </c>
      <c r="AG15" s="289" t="s">
        <v>225</v>
      </c>
      <c r="AH15" s="173"/>
      <c r="AI15" s="173"/>
      <c r="AJ15" s="178"/>
      <c r="AK15" s="173" t="s">
        <v>52</v>
      </c>
      <c r="AO15" s="177"/>
      <c r="AP15" s="177"/>
      <c r="AQ15" s="177"/>
      <c r="AR15" s="177"/>
      <c r="AS15" s="177"/>
    </row>
    <row r="16" spans="1:45" ht="14.4">
      <c r="A16" s="177"/>
      <c r="B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3"/>
      <c r="R16" s="177"/>
      <c r="S16" s="176"/>
      <c r="T16" s="175"/>
      <c r="U16" s="174"/>
      <c r="V16" s="172"/>
      <c r="W16" s="173"/>
      <c r="X16" s="173"/>
      <c r="Y16" s="173"/>
      <c r="Z16" s="173"/>
      <c r="AA16" s="174"/>
      <c r="AB16" s="173"/>
      <c r="AC16" s="172"/>
      <c r="AD16" s="173"/>
      <c r="AE16" s="172"/>
      <c r="AF16" s="172"/>
      <c r="AG16" s="171"/>
      <c r="AH16" s="173"/>
      <c r="AI16" s="173"/>
      <c r="AJ16" s="178"/>
      <c r="AK16" s="173"/>
      <c r="AO16" s="177"/>
      <c r="AP16" s="177"/>
      <c r="AQ16" s="177"/>
      <c r="AR16" s="177"/>
      <c r="AS16" s="177"/>
    </row>
    <row r="17" spans="1:45" ht="15" customHeight="1">
      <c r="A17" s="177">
        <v>2</v>
      </c>
      <c r="B17" s="553" t="s">
        <v>85</v>
      </c>
      <c r="C17" s="170">
        <v>0</v>
      </c>
      <c r="D17" s="179" t="s">
        <v>86</v>
      </c>
      <c r="E17" s="177">
        <v>16000</v>
      </c>
      <c r="F17" s="177">
        <f>ROUNDDOWN((E17/G4),)</f>
        <v>516</v>
      </c>
      <c r="G17" s="177">
        <f>ROUNDDOWN((E17/G4/9),)</f>
        <v>57</v>
      </c>
      <c r="H17" s="177">
        <v>22</v>
      </c>
      <c r="I17" s="177">
        <v>5</v>
      </c>
      <c r="J17" s="177">
        <v>0</v>
      </c>
      <c r="K17" s="177">
        <v>4</v>
      </c>
      <c r="L17" s="177">
        <v>0</v>
      </c>
      <c r="M17" s="177"/>
      <c r="N17" s="177"/>
      <c r="O17" s="177">
        <f>SUM(H17:L17)</f>
        <v>31</v>
      </c>
      <c r="P17" s="177">
        <v>0</v>
      </c>
      <c r="Q17" s="173">
        <f>IF(O17=G4,E17,O17*F17)</f>
        <v>16000</v>
      </c>
      <c r="R17" s="177">
        <f>G17*P17</f>
        <v>0</v>
      </c>
      <c r="S17" s="176">
        <f>+Q17+R17</f>
        <v>16000</v>
      </c>
      <c r="T17" s="175" t="s">
        <v>51</v>
      </c>
      <c r="U17" s="174">
        <v>0</v>
      </c>
      <c r="V17" s="172">
        <v>0</v>
      </c>
      <c r="W17" s="173">
        <v>0</v>
      </c>
      <c r="X17" s="173">
        <v>0</v>
      </c>
      <c r="Y17" s="173">
        <v>0</v>
      </c>
      <c r="Z17" s="173">
        <v>0</v>
      </c>
      <c r="AA17" s="174">
        <f>SUM(U17:Z17)</f>
        <v>0</v>
      </c>
      <c r="AB17" s="173"/>
      <c r="AC17" s="172">
        <f>AA17-AB17</f>
        <v>0</v>
      </c>
      <c r="AD17" s="180"/>
      <c r="AE17" s="172"/>
      <c r="AF17" s="209">
        <f>S17-AB17+AE17</f>
        <v>16000</v>
      </c>
      <c r="AG17" s="289" t="s">
        <v>223</v>
      </c>
      <c r="AH17" s="173"/>
      <c r="AI17" s="173"/>
      <c r="AJ17" s="178"/>
      <c r="AK17" s="173" t="s">
        <v>52</v>
      </c>
      <c r="AO17" s="177"/>
      <c r="AP17" s="177"/>
      <c r="AQ17" s="177"/>
      <c r="AR17" s="177"/>
      <c r="AS17" s="177"/>
    </row>
    <row r="19" spans="1:45" ht="14.4">
      <c r="Z19" s="170" t="s">
        <v>60</v>
      </c>
    </row>
    <row r="20" spans="1:45" ht="14.4">
      <c r="S20" s="170">
        <f>SUM(S10:S17)</f>
        <v>56810</v>
      </c>
    </row>
    <row r="21" spans="1:45" ht="14.4">
      <c r="F21" s="170" t="s">
        <v>60</v>
      </c>
      <c r="K21" s="170" t="s">
        <v>87</v>
      </c>
    </row>
    <row r="22" spans="1:45" ht="15" customHeight="1">
      <c r="K22" s="435" t="s">
        <v>195</v>
      </c>
    </row>
    <row r="25" spans="1:45" ht="14.4">
      <c r="J25" s="170" t="s">
        <v>60</v>
      </c>
    </row>
  </sheetData>
  <mergeCells count="30">
    <mergeCell ref="AB7:AC7"/>
    <mergeCell ref="AD7:AE7"/>
    <mergeCell ref="AF7:AF9"/>
    <mergeCell ref="AA10:AA11"/>
    <mergeCell ref="AB8:AB9"/>
    <mergeCell ref="AC8:AC9"/>
    <mergeCell ref="AD8:AD9"/>
    <mergeCell ref="AE8:AE9"/>
    <mergeCell ref="P7:P9"/>
    <mergeCell ref="AG7:AI7"/>
    <mergeCell ref="AJ7:AJ9"/>
    <mergeCell ref="AK7:AK9"/>
    <mergeCell ref="AG8:AG9"/>
    <mergeCell ref="AH8:AI8"/>
    <mergeCell ref="T8:U8"/>
    <mergeCell ref="V8:W8"/>
    <mergeCell ref="X8:X9"/>
    <mergeCell ref="Y8:Y9"/>
    <mergeCell ref="Z8:Z9"/>
    <mergeCell ref="AA8:AA9"/>
    <mergeCell ref="Q7:Q9"/>
    <mergeCell ref="R7:R9"/>
    <mergeCell ref="S7:S9"/>
    <mergeCell ref="T7:AA7"/>
    <mergeCell ref="H7:L7"/>
    <mergeCell ref="A7:A8"/>
    <mergeCell ref="B7:B8"/>
    <mergeCell ref="C7:C8"/>
    <mergeCell ref="D7:D8"/>
    <mergeCell ref="E7:E8"/>
  </mergeCells>
  <dataValidations count="2">
    <dataValidation type="list" allowBlank="1" showInputMessage="1" showErrorMessage="1" sqref="AK10:AK17" xr:uid="{D301ADDB-73C8-4486-A132-B114CE260654}">
      <formula1>"Working, Left"</formula1>
    </dataValidation>
    <dataValidation type="list" allowBlank="1" showInputMessage="1" showErrorMessage="1" sqref="AH10:AH17" xr:uid="{BA28B470-1B0B-4586-9C94-04A0E24B9F0C}">
      <formula1>"Own,Other"</formula1>
    </dataValidation>
  </dataValidation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5BB1-2DE5-4B70-83F2-0BF90E0F5210}">
  <sheetPr>
    <tabColor rgb="FF7030A0"/>
  </sheetPr>
  <dimension ref="A1:AI1000"/>
  <sheetViews>
    <sheetView topLeftCell="A3" zoomScale="92" workbookViewId="0">
      <selection activeCell="R27" sqref="R27"/>
    </sheetView>
  </sheetViews>
  <sheetFormatPr defaultColWidth="14.44140625" defaultRowHeight="15" customHeight="1"/>
  <cols>
    <col min="1" max="1" width="4" style="170" customWidth="1"/>
    <col min="2" max="2" width="13.6640625" style="170" customWidth="1"/>
    <col min="3" max="3" width="12.33203125" style="170" customWidth="1"/>
    <col min="4" max="4" width="7.33203125" style="170" customWidth="1"/>
    <col min="5" max="5" width="5.33203125" style="170" customWidth="1"/>
    <col min="6" max="6" width="5.109375" style="170" customWidth="1"/>
    <col min="7" max="7" width="4.6640625" style="170" customWidth="1"/>
    <col min="8" max="8" width="4.109375" style="170" customWidth="1"/>
    <col min="9" max="10" width="4.5546875" style="170" customWidth="1"/>
    <col min="11" max="11" width="5.33203125" style="170" bestFit="1" customWidth="1"/>
    <col min="12" max="12" width="6.109375" style="170" customWidth="1"/>
    <col min="13" max="14" width="6.33203125" style="170" customWidth="1"/>
    <col min="15" max="15" width="5.33203125" style="170" customWidth="1"/>
    <col min="16" max="16" width="7" style="170" bestFit="1" customWidth="1"/>
    <col min="17" max="17" width="10.6640625" style="170" customWidth="1"/>
    <col min="18" max="18" width="8.5546875" style="170" customWidth="1"/>
    <col min="19" max="19" width="5.33203125" style="170" hidden="1" customWidth="1"/>
    <col min="20" max="20" width="5.109375" style="170" hidden="1" customWidth="1"/>
    <col min="21" max="21" width="6.44140625" style="170" hidden="1" customWidth="1"/>
    <col min="22" max="22" width="3" style="170" hidden="1" customWidth="1"/>
    <col min="23" max="23" width="7" style="170" hidden="1" customWidth="1"/>
    <col min="24" max="24" width="8.109375" style="170" customWidth="1"/>
    <col min="25" max="25" width="7.6640625" style="170" customWidth="1"/>
    <col min="26" max="26" width="8" style="170" customWidth="1"/>
    <col min="27" max="27" width="7.6640625" style="170" hidden="1" customWidth="1"/>
    <col min="28" max="28" width="4.88671875" style="170" hidden="1" customWidth="1"/>
    <col min="29" max="29" width="9" style="170" bestFit="1" customWidth="1"/>
    <col min="30" max="30" width="11" style="170" customWidth="1"/>
    <col min="31" max="34" width="8.6640625" style="170" customWidth="1"/>
    <col min="35" max="16384" width="14.44140625" style="170"/>
  </cols>
  <sheetData>
    <row r="1" spans="1:35" ht="18.75" customHeight="1">
      <c r="A1" s="222"/>
      <c r="B1" s="222" t="s">
        <v>0</v>
      </c>
    </row>
    <row r="2" spans="1:35" ht="14.25" customHeight="1"/>
    <row r="3" spans="1:35" ht="15.75" customHeight="1">
      <c r="B3" s="280" t="s">
        <v>1</v>
      </c>
      <c r="C3" s="280"/>
      <c r="D3" s="281" t="s">
        <v>91</v>
      </c>
    </row>
    <row r="4" spans="1:35" ht="14.25" customHeight="1">
      <c r="B4" s="280" t="s">
        <v>3</v>
      </c>
      <c r="C4" s="280"/>
      <c r="D4" s="282" t="s">
        <v>203</v>
      </c>
      <c r="F4" s="218">
        <v>31</v>
      </c>
    </row>
    <row r="5" spans="1:35" ht="15" customHeight="1">
      <c r="B5" s="280" t="s">
        <v>4</v>
      </c>
      <c r="C5" s="280"/>
      <c r="D5" s="283" t="s">
        <v>5</v>
      </c>
    </row>
    <row r="6" spans="1:35" ht="14.25" customHeight="1" thickBot="1"/>
    <row r="7" spans="1:35" ht="15" customHeight="1">
      <c r="A7" s="680" t="s">
        <v>54</v>
      </c>
      <c r="B7" s="680" t="s">
        <v>8</v>
      </c>
      <c r="C7" s="682" t="s">
        <v>9</v>
      </c>
      <c r="D7" s="682" t="s">
        <v>10</v>
      </c>
      <c r="E7" s="286"/>
      <c r="F7" s="286"/>
      <c r="G7" s="305" t="s">
        <v>13</v>
      </c>
      <c r="H7" s="333"/>
      <c r="I7" s="333"/>
      <c r="J7" s="333"/>
      <c r="K7" s="333"/>
      <c r="L7" s="334"/>
      <c r="M7" s="663" t="s">
        <v>14</v>
      </c>
      <c r="N7" s="663" t="s">
        <v>15</v>
      </c>
      <c r="O7" s="663" t="s">
        <v>16</v>
      </c>
      <c r="P7" s="730" t="s">
        <v>17</v>
      </c>
      <c r="Q7" s="733" t="s">
        <v>19</v>
      </c>
      <c r="R7" s="658"/>
      <c r="S7" s="297"/>
      <c r="T7" s="297"/>
      <c r="U7" s="297"/>
      <c r="V7" s="297"/>
      <c r="W7" s="297"/>
      <c r="X7" s="298"/>
      <c r="Y7" s="676" t="s">
        <v>20</v>
      </c>
      <c r="Z7" s="658"/>
      <c r="AA7" s="677" t="s">
        <v>21</v>
      </c>
      <c r="AB7" s="678"/>
      <c r="AC7" s="734" t="s">
        <v>22</v>
      </c>
      <c r="AD7" s="656" t="s">
        <v>23</v>
      </c>
      <c r="AE7" s="657"/>
      <c r="AF7" s="658"/>
      <c r="AG7" s="299"/>
      <c r="AH7" s="669" t="s">
        <v>24</v>
      </c>
    </row>
    <row r="8" spans="1:35" ht="29.25" customHeight="1">
      <c r="A8" s="681"/>
      <c r="B8" s="681"/>
      <c r="C8" s="681"/>
      <c r="D8" s="681"/>
      <c r="E8" s="335" t="s">
        <v>11</v>
      </c>
      <c r="F8" s="335" t="s">
        <v>12</v>
      </c>
      <c r="G8" s="286" t="s">
        <v>25</v>
      </c>
      <c r="H8" s="286" t="s">
        <v>26</v>
      </c>
      <c r="I8" s="286" t="s">
        <v>27</v>
      </c>
      <c r="J8" s="286" t="s">
        <v>28</v>
      </c>
      <c r="K8" s="336" t="s">
        <v>124</v>
      </c>
      <c r="L8" s="337" t="s">
        <v>30</v>
      </c>
      <c r="M8" s="664"/>
      <c r="N8" s="664"/>
      <c r="O8" s="664"/>
      <c r="P8" s="731"/>
      <c r="Q8" s="684" t="s">
        <v>31</v>
      </c>
      <c r="R8" s="685"/>
      <c r="S8" s="684" t="s">
        <v>32</v>
      </c>
      <c r="T8" s="685"/>
      <c r="U8" s="659" t="s">
        <v>33</v>
      </c>
      <c r="V8" s="659" t="s">
        <v>34</v>
      </c>
      <c r="W8" s="659" t="s">
        <v>35</v>
      </c>
      <c r="X8" s="672" t="s">
        <v>36</v>
      </c>
      <c r="Y8" s="674" t="s">
        <v>37</v>
      </c>
      <c r="Z8" s="659" t="s">
        <v>38</v>
      </c>
      <c r="AA8" s="659" t="s">
        <v>39</v>
      </c>
      <c r="AB8" s="659" t="s">
        <v>40</v>
      </c>
      <c r="AC8" s="735"/>
      <c r="AD8" s="665" t="s">
        <v>41</v>
      </c>
      <c r="AE8" s="661" t="s">
        <v>42</v>
      </c>
      <c r="AF8" s="662"/>
      <c r="AG8" s="659" t="s">
        <v>43</v>
      </c>
      <c r="AH8" s="670"/>
    </row>
    <row r="9" spans="1:35" ht="15" customHeight="1" thickBot="1">
      <c r="L9" s="311"/>
      <c r="M9" s="664"/>
      <c r="N9" s="664"/>
      <c r="O9" s="664"/>
      <c r="P9" s="732"/>
      <c r="Q9" s="303" t="s">
        <v>44</v>
      </c>
      <c r="R9" s="303" t="s">
        <v>45</v>
      </c>
      <c r="S9" s="303" t="s">
        <v>46</v>
      </c>
      <c r="T9" s="303" t="s">
        <v>47</v>
      </c>
      <c r="U9" s="660"/>
      <c r="V9" s="660"/>
      <c r="W9" s="660"/>
      <c r="X9" s="673"/>
      <c r="Y9" s="675"/>
      <c r="Z9" s="660"/>
      <c r="AA9" s="660"/>
      <c r="AB9" s="660"/>
      <c r="AC9" s="736"/>
      <c r="AD9" s="666"/>
      <c r="AE9" s="284"/>
      <c r="AF9" s="304" t="s">
        <v>48</v>
      </c>
      <c r="AG9" s="660"/>
      <c r="AH9" s="671"/>
    </row>
    <row r="10" spans="1:35" ht="14.25" customHeight="1">
      <c r="A10" s="286">
        <v>1</v>
      </c>
      <c r="B10" s="286" t="s">
        <v>136</v>
      </c>
      <c r="C10" s="292" t="s">
        <v>100</v>
      </c>
      <c r="D10" s="286">
        <v>15000</v>
      </c>
      <c r="E10" s="286">
        <f>ROUNDDOWN((D10/F4),)</f>
        <v>483</v>
      </c>
      <c r="F10" s="286">
        <f>ROUNDDOWN((D10/F4/9),)</f>
        <v>53</v>
      </c>
      <c r="G10" s="456">
        <v>26.5</v>
      </c>
      <c r="H10" s="286">
        <v>4</v>
      </c>
      <c r="I10" s="286">
        <v>0</v>
      </c>
      <c r="J10" s="286">
        <v>0</v>
      </c>
      <c r="K10" s="291">
        <v>0</v>
      </c>
      <c r="L10" s="286">
        <f>SUM(G10:J10)-K10</f>
        <v>30.5</v>
      </c>
      <c r="M10" s="286">
        <v>0</v>
      </c>
      <c r="N10" s="216">
        <f>IF(L10=F4,D10,L10*E10)</f>
        <v>14731.5</v>
      </c>
      <c r="O10" s="286">
        <f>E10*M10</f>
        <v>0</v>
      </c>
      <c r="P10" s="223">
        <f>+N10+O10</f>
        <v>14731.5</v>
      </c>
      <c r="Q10" s="287" t="s">
        <v>51</v>
      </c>
      <c r="R10" s="288">
        <v>0</v>
      </c>
      <c r="S10" s="216">
        <v>0</v>
      </c>
      <c r="T10" s="216">
        <v>0</v>
      </c>
      <c r="U10" s="216">
        <v>0</v>
      </c>
      <c r="V10" s="216">
        <v>0</v>
      </c>
      <c r="W10" s="216">
        <v>0</v>
      </c>
      <c r="X10" s="288">
        <f>SUM(R10:W10)</f>
        <v>0</v>
      </c>
      <c r="Y10" s="216">
        <v>0</v>
      </c>
      <c r="Z10" s="288">
        <f>X10-Y10</f>
        <v>0</v>
      </c>
      <c r="AA10" s="216"/>
      <c r="AB10" s="314"/>
      <c r="AC10" s="343">
        <f>P10-Y10+AB10</f>
        <v>14731.5</v>
      </c>
      <c r="AD10" s="289" t="s">
        <v>225</v>
      </c>
      <c r="AE10" s="216"/>
      <c r="AF10" s="216"/>
      <c r="AG10" s="215"/>
      <c r="AH10" s="216" t="s">
        <v>52</v>
      </c>
      <c r="AI10" s="548"/>
    </row>
    <row r="11" spans="1:35" ht="14.25" customHeight="1">
      <c r="A11" s="286"/>
      <c r="B11" s="286"/>
      <c r="C11" s="292"/>
      <c r="D11" s="286"/>
      <c r="E11" s="286"/>
      <c r="F11" s="286"/>
      <c r="G11" s="338"/>
      <c r="H11" s="286"/>
      <c r="I11" s="286"/>
      <c r="J11" s="286"/>
      <c r="K11" s="291"/>
      <c r="L11" s="286"/>
      <c r="M11" s="286"/>
      <c r="N11" s="216"/>
      <c r="O11" s="286"/>
      <c r="P11" s="223"/>
      <c r="Q11" s="287"/>
      <c r="R11" s="288"/>
      <c r="S11" s="216"/>
      <c r="T11" s="216"/>
      <c r="U11" s="216"/>
      <c r="V11" s="216"/>
      <c r="W11" s="216"/>
      <c r="X11" s="288"/>
      <c r="Y11" s="216"/>
      <c r="Z11" s="288"/>
      <c r="AA11" s="216"/>
      <c r="AB11" s="314"/>
      <c r="AC11" s="343"/>
      <c r="AD11" s="289"/>
      <c r="AE11" s="216"/>
      <c r="AF11" s="216"/>
      <c r="AG11" s="215"/>
      <c r="AH11" s="216"/>
    </row>
    <row r="12" spans="1:35" ht="14.25" customHeight="1">
      <c r="A12" s="559">
        <v>2</v>
      </c>
      <c r="B12" s="551" t="s">
        <v>179</v>
      </c>
      <c r="C12" s="292" t="s">
        <v>100</v>
      </c>
      <c r="D12" s="286">
        <v>15000</v>
      </c>
      <c r="E12" s="286">
        <f>ROUNDDOWN((D12/F4),)</f>
        <v>483</v>
      </c>
      <c r="F12" s="286">
        <f>ROUNDDOWN((D12/F4/9),)</f>
        <v>53</v>
      </c>
      <c r="G12" s="338">
        <v>18</v>
      </c>
      <c r="H12" s="286">
        <v>3</v>
      </c>
      <c r="I12" s="286">
        <v>0</v>
      </c>
      <c r="J12" s="286">
        <v>0</v>
      </c>
      <c r="K12" s="291">
        <v>0</v>
      </c>
      <c r="L12" s="286">
        <f>SUM(G12:J12)-K12</f>
        <v>21</v>
      </c>
      <c r="M12" s="286">
        <v>0</v>
      </c>
      <c r="N12" s="216">
        <f>ROUNDDOWN(IF(L12=F4,D12,L12*E12),0)</f>
        <v>10143</v>
      </c>
      <c r="O12" s="286">
        <f>F12*M12</f>
        <v>0</v>
      </c>
      <c r="P12" s="223">
        <f>ROUNDDOWN(N12+O12,0)</f>
        <v>10143</v>
      </c>
      <c r="Q12" s="287">
        <v>45957</v>
      </c>
      <c r="R12" s="288">
        <v>5000</v>
      </c>
      <c r="S12" s="216">
        <v>0</v>
      </c>
      <c r="T12" s="216">
        <v>0</v>
      </c>
      <c r="U12" s="216">
        <v>0</v>
      </c>
      <c r="V12" s="216">
        <v>0</v>
      </c>
      <c r="W12" s="216">
        <v>0</v>
      </c>
      <c r="X12" s="288">
        <f>SUM(R12:W12)</f>
        <v>5000</v>
      </c>
      <c r="Y12" s="216">
        <v>5000</v>
      </c>
      <c r="Z12" s="288">
        <f>X12-Y12</f>
        <v>0</v>
      </c>
      <c r="AA12" s="216"/>
      <c r="AB12" s="314"/>
      <c r="AC12" s="343">
        <f>P12-Y12+AB12</f>
        <v>5143</v>
      </c>
      <c r="AD12" s="289" t="s">
        <v>223</v>
      </c>
      <c r="AE12" s="216"/>
      <c r="AF12" s="216"/>
      <c r="AG12" s="215"/>
      <c r="AH12" s="216" t="s">
        <v>52</v>
      </c>
    </row>
    <row r="13" spans="1:35" ht="14.25" customHeight="1">
      <c r="A13" s="559"/>
      <c r="B13" s="286"/>
      <c r="C13" s="292"/>
      <c r="D13" s="286"/>
      <c r="E13" s="286"/>
      <c r="F13" s="286"/>
      <c r="G13" s="338"/>
      <c r="H13" s="286"/>
      <c r="I13" s="286"/>
      <c r="J13" s="286"/>
      <c r="K13" s="291"/>
      <c r="L13" s="286"/>
      <c r="M13" s="286"/>
      <c r="N13" s="216"/>
      <c r="O13" s="286"/>
      <c r="P13" s="223"/>
      <c r="Q13" s="287"/>
      <c r="R13" s="288"/>
      <c r="S13" s="216"/>
      <c r="T13" s="216"/>
      <c r="U13" s="216"/>
      <c r="V13" s="216"/>
      <c r="W13" s="216"/>
      <c r="X13" s="288"/>
      <c r="Y13" s="216"/>
      <c r="Z13" s="288"/>
      <c r="AA13" s="216"/>
      <c r="AB13" s="314"/>
      <c r="AC13" s="343"/>
      <c r="AD13" s="289"/>
      <c r="AE13" s="216"/>
      <c r="AF13" s="216"/>
      <c r="AG13" s="215"/>
      <c r="AH13" s="216"/>
    </row>
    <row r="14" spans="1:35" s="218" customFormat="1" ht="14.25" customHeight="1">
      <c r="A14" s="559">
        <v>3</v>
      </c>
      <c r="B14" s="286" t="s">
        <v>182</v>
      </c>
      <c r="C14" s="286" t="s">
        <v>100</v>
      </c>
      <c r="D14" s="286">
        <v>15000</v>
      </c>
      <c r="E14" s="286">
        <f>ROUNDDOWN((D14/F4),)</f>
        <v>483</v>
      </c>
      <c r="F14" s="286">
        <f>ROUNDDOWN((D14/F4/9),)</f>
        <v>53</v>
      </c>
      <c r="G14" s="291">
        <v>17.5</v>
      </c>
      <c r="H14" s="286">
        <v>3</v>
      </c>
      <c r="I14" s="286">
        <v>0</v>
      </c>
      <c r="J14" s="286">
        <v>0</v>
      </c>
      <c r="K14" s="291">
        <v>0</v>
      </c>
      <c r="L14" s="286">
        <f>SUM(G14:J14)-K14</f>
        <v>20.5</v>
      </c>
      <c r="M14" s="286">
        <v>0</v>
      </c>
      <c r="N14" s="216">
        <f>IF(L14=F4,D14,L14*E14)</f>
        <v>9901.5</v>
      </c>
      <c r="O14" s="286">
        <f>E14*M14</f>
        <v>0</v>
      </c>
      <c r="P14" s="223">
        <f>+N14+O14</f>
        <v>9901.5</v>
      </c>
      <c r="Q14" s="287">
        <v>45957</v>
      </c>
      <c r="R14" s="288">
        <v>5000</v>
      </c>
      <c r="S14" s="216">
        <v>0</v>
      </c>
      <c r="T14" s="216">
        <v>0</v>
      </c>
      <c r="U14" s="216">
        <v>0</v>
      </c>
      <c r="V14" s="216">
        <v>0</v>
      </c>
      <c r="W14" s="216">
        <v>0</v>
      </c>
      <c r="X14" s="288">
        <f>SUM(R14:W14)</f>
        <v>5000</v>
      </c>
      <c r="Y14" s="216">
        <v>5000</v>
      </c>
      <c r="Z14" s="288">
        <f>X14-Y14</f>
        <v>0</v>
      </c>
      <c r="AA14" s="216"/>
      <c r="AB14" s="314"/>
      <c r="AC14" s="343">
        <f>P14-Y14+AB14</f>
        <v>4901.5</v>
      </c>
      <c r="AD14" s="289" t="s">
        <v>223</v>
      </c>
      <c r="AE14" s="216"/>
      <c r="AF14" s="216"/>
      <c r="AG14" s="215"/>
      <c r="AH14" s="216" t="s">
        <v>52</v>
      </c>
    </row>
    <row r="15" spans="1:35" ht="15" customHeight="1">
      <c r="A15" s="561"/>
      <c r="C15" s="339"/>
      <c r="P15" s="176"/>
      <c r="AB15" s="342"/>
      <c r="AC15" s="346"/>
    </row>
    <row r="16" spans="1:35" ht="14.25" customHeight="1">
      <c r="A16" s="559">
        <v>4</v>
      </c>
      <c r="B16" s="551" t="s">
        <v>202</v>
      </c>
      <c r="C16" s="292" t="s">
        <v>100</v>
      </c>
      <c r="D16" s="286">
        <v>15000</v>
      </c>
      <c r="E16" s="286">
        <f>ROUNDDOWN((D16/F4),)</f>
        <v>483</v>
      </c>
      <c r="F16" s="286">
        <f>ROUNDDOWN((D16/F4/9),)</f>
        <v>53</v>
      </c>
      <c r="G16" s="456">
        <v>24.5</v>
      </c>
      <c r="H16" s="286">
        <v>3</v>
      </c>
      <c r="I16" s="286">
        <v>0</v>
      </c>
      <c r="J16" s="286">
        <v>0</v>
      </c>
      <c r="K16" s="291">
        <v>0</v>
      </c>
      <c r="L16" s="286">
        <f>SUM(G16:J16)-K16</f>
        <v>27.5</v>
      </c>
      <c r="M16" s="286">
        <v>0</v>
      </c>
      <c r="N16" s="216">
        <f>IF(L16=F4,D16,L16*E16)</f>
        <v>13282.5</v>
      </c>
      <c r="O16" s="286">
        <f>E16*M16</f>
        <v>0</v>
      </c>
      <c r="P16" s="223">
        <f>+N16+O16</f>
        <v>13282.5</v>
      </c>
      <c r="Q16" s="287" t="s">
        <v>51</v>
      </c>
      <c r="R16" s="288">
        <v>0</v>
      </c>
      <c r="S16" s="216">
        <v>0</v>
      </c>
      <c r="T16" s="216">
        <v>0</v>
      </c>
      <c r="U16" s="216">
        <v>0</v>
      </c>
      <c r="V16" s="216">
        <v>0</v>
      </c>
      <c r="W16" s="216">
        <v>0</v>
      </c>
      <c r="X16" s="288">
        <f>SUM(R16:W16)</f>
        <v>0</v>
      </c>
      <c r="Y16" s="216">
        <v>0</v>
      </c>
      <c r="Z16" s="288">
        <f>X16-Y16</f>
        <v>0</v>
      </c>
      <c r="AA16" s="216"/>
      <c r="AB16" s="314"/>
      <c r="AC16" s="343">
        <f>P16-Y16+AB16</f>
        <v>13282.5</v>
      </c>
      <c r="AD16" s="289" t="s">
        <v>223</v>
      </c>
      <c r="AE16" s="340"/>
      <c r="AF16" s="216"/>
      <c r="AG16" s="215"/>
      <c r="AH16" s="216" t="s">
        <v>52</v>
      </c>
    </row>
    <row r="17" spans="1:29" ht="14.25" customHeight="1">
      <c r="A17" s="561"/>
      <c r="C17" s="339"/>
    </row>
    <row r="18" spans="1:29" ht="14.25" customHeight="1">
      <c r="C18" s="339"/>
      <c r="P18" s="170">
        <f>SUM(P10:P16)</f>
        <v>48058.5</v>
      </c>
      <c r="AC18" s="341">
        <f>SUM(AC10:AC16)</f>
        <v>38058.5</v>
      </c>
    </row>
    <row r="19" spans="1:29" ht="14.25" customHeight="1"/>
    <row r="20" spans="1:29" ht="14.25" customHeight="1"/>
    <row r="21" spans="1:29" ht="14.25" customHeight="1"/>
    <row r="22" spans="1:29" ht="14.25" customHeight="1"/>
    <row r="23" spans="1:29" ht="14.25" customHeight="1"/>
    <row r="24" spans="1:29" ht="14.25" customHeight="1"/>
    <row r="25" spans="1:29" ht="14.25" customHeight="1"/>
    <row r="26" spans="1:29" ht="14.25" customHeight="1"/>
    <row r="27" spans="1:29" ht="14.25" customHeight="1"/>
    <row r="28" spans="1:29" ht="14.25" customHeight="1"/>
    <row r="29" spans="1:29" ht="14.25" customHeight="1">
      <c r="P29" s="576" t="s">
        <v>6</v>
      </c>
    </row>
    <row r="30" spans="1:29" ht="14.25" customHeight="1"/>
    <row r="31" spans="1:29" ht="14.25" customHeight="1"/>
    <row r="32" spans="1:2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H7:AH9"/>
    <mergeCell ref="AD8:AD9"/>
    <mergeCell ref="AG8:AG9"/>
    <mergeCell ref="AA8:AA9"/>
    <mergeCell ref="AB8:AB9"/>
    <mergeCell ref="AD7:AF7"/>
    <mergeCell ref="AE8:AF8"/>
    <mergeCell ref="AC7:AC9"/>
    <mergeCell ref="Y7:Z7"/>
    <mergeCell ref="AA7:AB7"/>
    <mergeCell ref="V8:V9"/>
    <mergeCell ref="W8:W9"/>
    <mergeCell ref="X8:X9"/>
    <mergeCell ref="Y8:Y9"/>
    <mergeCell ref="Z8:Z9"/>
    <mergeCell ref="N7:N9"/>
    <mergeCell ref="O7:O9"/>
    <mergeCell ref="Q8:R8"/>
    <mergeCell ref="S8:T8"/>
    <mergeCell ref="U8:U9"/>
    <mergeCell ref="P7:P9"/>
    <mergeCell ref="Q7:R7"/>
    <mergeCell ref="A7:A8"/>
    <mergeCell ref="B7:B8"/>
    <mergeCell ref="C7:C8"/>
    <mergeCell ref="D7:D8"/>
    <mergeCell ref="M7:M9"/>
  </mergeCells>
  <dataValidations count="2">
    <dataValidation type="list" allowBlank="1" showErrorMessage="1" sqref="AE10:AE14 AE16" xr:uid="{00000000-0002-0000-0B00-000001000000}">
      <formula1>"Own,Other"</formula1>
    </dataValidation>
    <dataValidation type="list" allowBlank="1" showErrorMessage="1" sqref="AH10:AH14 AH16" xr:uid="{00000000-0002-0000-0B00-000000000000}">
      <formula1>"Working,Left"</formula1>
    </dataValidation>
  </dataValidation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tabColor rgb="FF7030A0"/>
  </sheetPr>
  <dimension ref="A1:AJ955"/>
  <sheetViews>
    <sheetView zoomScale="88" workbookViewId="0">
      <selection activeCell="R27" sqref="R27"/>
    </sheetView>
  </sheetViews>
  <sheetFormatPr defaultColWidth="14.44140625" defaultRowHeight="15" customHeight="1"/>
  <cols>
    <col min="1" max="1" width="4.5546875" bestFit="1" customWidth="1"/>
    <col min="2" max="2" width="10.33203125" customWidth="1"/>
    <col min="3" max="3" width="15.88671875" hidden="1" customWidth="1"/>
    <col min="4" max="4" width="7.109375" bestFit="1" customWidth="1"/>
    <col min="5" max="5" width="7.6640625" customWidth="1"/>
    <col min="6" max="6" width="5.6640625" customWidth="1"/>
    <col min="7" max="7" width="6" customWidth="1"/>
    <col min="8" max="8" width="4.6640625" customWidth="1"/>
    <col min="9" max="9" width="4.33203125" customWidth="1"/>
    <col min="10" max="10" width="4.6640625" customWidth="1"/>
    <col min="11" max="11" width="3.88671875" customWidth="1"/>
    <col min="12" max="12" width="6.44140625" bestFit="1" customWidth="1"/>
    <col min="13" max="13" width="6.109375" customWidth="1"/>
    <col min="14" max="14" width="6.6640625" customWidth="1"/>
    <col min="15" max="15" width="5.44140625" bestFit="1" customWidth="1"/>
    <col min="16" max="16" width="9.44140625" customWidth="1"/>
    <col min="17" max="17" width="11.44140625" customWidth="1"/>
    <col min="18" max="18" width="8.5546875" bestFit="1" customWidth="1"/>
    <col min="19" max="19" width="8.33203125" customWidth="1"/>
    <col min="20" max="21" width="4.88671875" customWidth="1"/>
    <col min="22" max="22" width="6.109375" customWidth="1"/>
    <col min="23" max="23" width="3" customWidth="1"/>
    <col min="24" max="24" width="6.88671875" customWidth="1"/>
    <col min="25" max="25" width="8.44140625" bestFit="1" customWidth="1"/>
    <col min="26" max="26" width="7.5546875" bestFit="1" customWidth="1"/>
    <col min="27" max="28" width="8.33203125" customWidth="1"/>
    <col min="29" max="29" width="9.33203125" bestFit="1" customWidth="1"/>
    <col min="30" max="30" width="11.44140625" customWidth="1"/>
    <col min="31" max="31" width="10.33203125" customWidth="1"/>
    <col min="32" max="32" width="8.6640625" customWidth="1"/>
    <col min="33" max="33" width="20.6640625" bestFit="1" customWidth="1"/>
    <col min="34" max="36" width="8.6640625" customWidth="1"/>
  </cols>
  <sheetData>
    <row r="1" spans="1:36" ht="18.75" customHeight="1">
      <c r="A1" s="1"/>
      <c r="B1" s="739" t="s">
        <v>0</v>
      </c>
      <c r="C1" s="629"/>
      <c r="D1" s="629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5"/>
      <c r="AD1" s="56"/>
      <c r="AE1" s="53"/>
      <c r="AF1" s="53"/>
      <c r="AG1" s="53"/>
      <c r="AH1" s="53"/>
    </row>
    <row r="2" spans="1:36" ht="14.2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7"/>
      <c r="AD2" s="53"/>
      <c r="AE2" s="53"/>
      <c r="AF2" s="53"/>
      <c r="AG2" s="53"/>
      <c r="AH2" s="53"/>
    </row>
    <row r="3" spans="1:36" ht="15.75" customHeight="1">
      <c r="A3" s="53"/>
      <c r="B3" s="740" t="s">
        <v>1</v>
      </c>
      <c r="C3" s="629"/>
      <c r="D3" s="629"/>
      <c r="E3" s="59" t="s">
        <v>105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5"/>
      <c r="AD3" s="56"/>
      <c r="AE3" s="53"/>
      <c r="AF3" s="53"/>
      <c r="AG3" s="53"/>
      <c r="AH3" s="53"/>
    </row>
    <row r="4" spans="1:36" ht="14.25" customHeight="1">
      <c r="A4" s="53"/>
      <c r="B4" s="58" t="s">
        <v>3</v>
      </c>
      <c r="C4" s="58"/>
      <c r="D4" s="4" t="s">
        <v>196</v>
      </c>
      <c r="F4" s="5">
        <v>31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7"/>
      <c r="AD4" s="53"/>
      <c r="AE4" s="53"/>
      <c r="AF4" s="53"/>
      <c r="AG4" s="53"/>
      <c r="AH4" s="53"/>
    </row>
    <row r="5" spans="1:36" ht="15" customHeight="1">
      <c r="A5" s="53"/>
      <c r="B5" s="58" t="s">
        <v>4</v>
      </c>
      <c r="C5" s="58"/>
      <c r="D5" s="741" t="s">
        <v>5</v>
      </c>
      <c r="E5" s="629"/>
      <c r="F5" s="629"/>
      <c r="G5" s="629"/>
      <c r="H5" s="629"/>
      <c r="I5" s="629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7"/>
      <c r="AD5" s="53"/>
      <c r="AE5" s="53"/>
      <c r="AF5" s="53"/>
      <c r="AG5" s="53"/>
      <c r="AH5" s="53"/>
    </row>
    <row r="6" spans="1:36" ht="18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743" t="s">
        <v>59</v>
      </c>
      <c r="U6" s="744"/>
      <c r="V6" s="745"/>
      <c r="W6" s="53"/>
      <c r="X6" s="53"/>
      <c r="Y6" s="53"/>
      <c r="Z6" s="53"/>
      <c r="AA6" s="53"/>
      <c r="AB6" s="53"/>
      <c r="AC6" s="57"/>
      <c r="AD6" s="53"/>
      <c r="AE6" s="53"/>
      <c r="AF6" s="53"/>
      <c r="AG6" s="53"/>
      <c r="AH6" s="53"/>
    </row>
    <row r="7" spans="1:36" ht="15" customHeight="1">
      <c r="A7" s="737" t="s">
        <v>106</v>
      </c>
      <c r="B7" s="737" t="s">
        <v>107</v>
      </c>
      <c r="C7" s="742" t="s">
        <v>9</v>
      </c>
      <c r="D7" s="742" t="s">
        <v>10</v>
      </c>
      <c r="E7" s="60"/>
      <c r="F7" s="60"/>
      <c r="G7" s="60" t="s">
        <v>13</v>
      </c>
      <c r="H7" s="60"/>
      <c r="I7" s="60"/>
      <c r="J7" s="60"/>
      <c r="K7" s="60"/>
      <c r="L7" s="61"/>
      <c r="M7" s="748" t="s">
        <v>108</v>
      </c>
      <c r="N7" s="748" t="s">
        <v>109</v>
      </c>
      <c r="O7" s="748" t="s">
        <v>110</v>
      </c>
      <c r="P7" s="746" t="s">
        <v>127</v>
      </c>
      <c r="Q7" s="749" t="s">
        <v>19</v>
      </c>
      <c r="R7" s="604"/>
      <c r="S7" s="604"/>
      <c r="T7" s="604"/>
      <c r="U7" s="604"/>
      <c r="V7" s="604"/>
      <c r="W7" s="604"/>
      <c r="X7" s="584"/>
      <c r="Y7" s="750" t="s">
        <v>111</v>
      </c>
      <c r="Z7" s="584"/>
      <c r="AA7" s="61" t="s">
        <v>21</v>
      </c>
      <c r="AB7" s="61"/>
      <c r="AC7" s="754" t="s">
        <v>112</v>
      </c>
      <c r="AD7" s="750" t="s">
        <v>23</v>
      </c>
      <c r="AE7" s="604"/>
      <c r="AF7" s="584"/>
      <c r="AG7" s="751" t="s">
        <v>113</v>
      </c>
      <c r="AH7" s="751" t="s">
        <v>24</v>
      </c>
    </row>
    <row r="8" spans="1:36" ht="14.25" customHeight="1">
      <c r="A8" s="597"/>
      <c r="B8" s="597"/>
      <c r="C8" s="597"/>
      <c r="D8" s="597"/>
      <c r="E8" s="747" t="s">
        <v>11</v>
      </c>
      <c r="F8" s="747" t="s">
        <v>12</v>
      </c>
      <c r="G8" s="747" t="s">
        <v>25</v>
      </c>
      <c r="H8" s="747" t="s">
        <v>26</v>
      </c>
      <c r="I8" s="747" t="s">
        <v>27</v>
      </c>
      <c r="J8" s="747" t="s">
        <v>28</v>
      </c>
      <c r="K8" s="62"/>
      <c r="L8" s="738" t="s">
        <v>30</v>
      </c>
      <c r="M8" s="597"/>
      <c r="N8" s="597"/>
      <c r="O8" s="597"/>
      <c r="P8" s="606"/>
      <c r="Q8" s="750" t="s">
        <v>31</v>
      </c>
      <c r="R8" s="584"/>
      <c r="S8" s="750" t="s">
        <v>32</v>
      </c>
      <c r="T8" s="584"/>
      <c r="U8" s="738" t="s">
        <v>33</v>
      </c>
      <c r="V8" s="738" t="s">
        <v>34</v>
      </c>
      <c r="W8" s="738" t="s">
        <v>35</v>
      </c>
      <c r="X8" s="738" t="s">
        <v>36</v>
      </c>
      <c r="Y8" s="753" t="s">
        <v>114</v>
      </c>
      <c r="Z8" s="753" t="s">
        <v>115</v>
      </c>
      <c r="AA8" s="738" t="s">
        <v>39</v>
      </c>
      <c r="AB8" s="738" t="s">
        <v>40</v>
      </c>
      <c r="AC8" s="613"/>
      <c r="AD8" s="738" t="s">
        <v>41</v>
      </c>
      <c r="AE8" s="752" t="s">
        <v>116</v>
      </c>
      <c r="AF8" s="63"/>
      <c r="AG8" s="597"/>
      <c r="AH8" s="597"/>
    </row>
    <row r="9" spans="1:36" ht="14.4">
      <c r="A9" s="601"/>
      <c r="B9" s="601"/>
      <c r="C9" s="601"/>
      <c r="D9" s="601"/>
      <c r="E9" s="601"/>
      <c r="F9" s="601"/>
      <c r="G9" s="601"/>
      <c r="H9" s="601"/>
      <c r="I9" s="601"/>
      <c r="J9" s="601"/>
      <c r="K9" s="62" t="s">
        <v>117</v>
      </c>
      <c r="L9" s="601"/>
      <c r="M9" s="601"/>
      <c r="N9" s="601"/>
      <c r="O9" s="601"/>
      <c r="P9" s="607"/>
      <c r="Q9" s="63" t="s">
        <v>44</v>
      </c>
      <c r="R9" s="63" t="s">
        <v>45</v>
      </c>
      <c r="S9" s="63" t="s">
        <v>118</v>
      </c>
      <c r="T9" s="63" t="s">
        <v>119</v>
      </c>
      <c r="U9" s="601"/>
      <c r="V9" s="601"/>
      <c r="W9" s="601"/>
      <c r="X9" s="601"/>
      <c r="Y9" s="601"/>
      <c r="Z9" s="601"/>
      <c r="AA9" s="601"/>
      <c r="AB9" s="601"/>
      <c r="AC9" s="755"/>
      <c r="AD9" s="601"/>
      <c r="AE9" s="601"/>
      <c r="AF9" s="63"/>
      <c r="AG9" s="601"/>
      <c r="AH9" s="601"/>
    </row>
    <row r="10" spans="1:36" ht="14.4">
      <c r="A10" s="88">
        <v>1</v>
      </c>
      <c r="B10" s="104" t="s">
        <v>120</v>
      </c>
      <c r="C10" s="89" t="s">
        <v>50</v>
      </c>
      <c r="D10" s="90">
        <v>14000</v>
      </c>
      <c r="E10" s="90">
        <f>ROUNDDOWN((D10/F4),)</f>
        <v>451</v>
      </c>
      <c r="F10" s="90">
        <f>ROUNDDOWN((D10/F4/9),)</f>
        <v>50</v>
      </c>
      <c r="G10" s="89">
        <v>26</v>
      </c>
      <c r="H10" s="89">
        <v>0</v>
      </c>
      <c r="I10" s="89">
        <v>4</v>
      </c>
      <c r="J10" s="89">
        <v>3</v>
      </c>
      <c r="K10" s="89">
        <v>0</v>
      </c>
      <c r="L10" s="90">
        <f>SUM(G10:K10)</f>
        <v>33</v>
      </c>
      <c r="M10" s="90">
        <v>0</v>
      </c>
      <c r="N10" s="91">
        <f>IF(L10=F4,D10,L10*E10)</f>
        <v>14883</v>
      </c>
      <c r="O10" s="90">
        <v>0</v>
      </c>
      <c r="P10" s="467">
        <f>N10</f>
        <v>14883</v>
      </c>
      <c r="Q10" s="118" t="s">
        <v>165</v>
      </c>
      <c r="R10" s="91">
        <v>2500</v>
      </c>
      <c r="S10" s="92">
        <v>0</v>
      </c>
      <c r="T10" s="92">
        <v>0</v>
      </c>
      <c r="U10" s="91">
        <v>0</v>
      </c>
      <c r="V10" s="91">
        <v>0</v>
      </c>
      <c r="W10" s="91">
        <v>0</v>
      </c>
      <c r="X10" s="91">
        <f>SUM(R10:W10)</f>
        <v>2500</v>
      </c>
      <c r="Y10" s="92">
        <v>2500</v>
      </c>
      <c r="Z10" s="92">
        <f>X10-Y10</f>
        <v>0</v>
      </c>
      <c r="AA10" s="93"/>
      <c r="AB10" s="91"/>
      <c r="AC10" s="127">
        <f>P10-Y10+AB10</f>
        <v>12383</v>
      </c>
      <c r="AD10" s="289" t="s">
        <v>199</v>
      </c>
      <c r="AE10" s="94"/>
      <c r="AF10" s="91"/>
      <c r="AG10" s="95"/>
      <c r="AH10" s="91" t="s">
        <v>52</v>
      </c>
    </row>
    <row r="11" spans="1:36" ht="14.4">
      <c r="P11" s="468" t="s">
        <v>60</v>
      </c>
      <c r="AG11" s="65"/>
      <c r="AH11" s="64"/>
      <c r="AJ11" s="66"/>
    </row>
    <row r="12" spans="1:36" s="157" customFormat="1" ht="14.4">
      <c r="A12" s="146">
        <v>2</v>
      </c>
      <c r="B12" s="147" t="s">
        <v>121</v>
      </c>
      <c r="C12" s="145" t="s">
        <v>50</v>
      </c>
      <c r="D12" s="146">
        <v>12500</v>
      </c>
      <c r="E12" s="146">
        <f>ROUNDDOWN((D12/F4),)</f>
        <v>403</v>
      </c>
      <c r="F12" s="146">
        <v>46</v>
      </c>
      <c r="G12" s="145">
        <v>26</v>
      </c>
      <c r="H12" s="145">
        <v>1</v>
      </c>
      <c r="I12" s="145">
        <v>3</v>
      </c>
      <c r="J12" s="145">
        <v>3</v>
      </c>
      <c r="K12" s="145">
        <v>0</v>
      </c>
      <c r="L12" s="146">
        <f>SUM(G12:K12)</f>
        <v>33</v>
      </c>
      <c r="M12" s="146">
        <v>0</v>
      </c>
      <c r="N12" s="149">
        <f>E12*L12</f>
        <v>13299</v>
      </c>
      <c r="O12" s="146">
        <v>0</v>
      </c>
      <c r="P12" s="469">
        <f>N12</f>
        <v>13299</v>
      </c>
      <c r="Q12" s="150" t="s">
        <v>51</v>
      </c>
      <c r="R12" s="149">
        <v>0</v>
      </c>
      <c r="S12" s="154">
        <v>0</v>
      </c>
      <c r="T12" s="154"/>
      <c r="U12" s="149"/>
      <c r="V12" s="149"/>
      <c r="W12" s="149">
        <v>0</v>
      </c>
      <c r="X12" s="149">
        <f>SUM(R12:W12)</f>
        <v>0</v>
      </c>
      <c r="Y12" s="154">
        <v>0</v>
      </c>
      <c r="Z12" s="154">
        <f>X12-Y12</f>
        <v>0</v>
      </c>
      <c r="AA12" s="154"/>
      <c r="AB12" s="149"/>
      <c r="AC12" s="213">
        <f>P12-Z12+AB12</f>
        <v>13299</v>
      </c>
      <c r="AD12" s="289" t="s">
        <v>212</v>
      </c>
      <c r="AE12" s="158"/>
      <c r="AF12" s="149"/>
      <c r="AG12" s="159"/>
      <c r="AH12" s="160" t="s">
        <v>122</v>
      </c>
    </row>
    <row r="13" spans="1:36" s="157" customFormat="1" ht="14.25" customHeight="1">
      <c r="A13" s="161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2"/>
      <c r="O13" s="161"/>
      <c r="P13" s="470"/>
      <c r="Q13" s="163"/>
      <c r="R13" s="164"/>
      <c r="S13" s="165"/>
      <c r="T13" s="165"/>
      <c r="U13" s="162"/>
      <c r="V13" s="162"/>
      <c r="W13" s="162"/>
      <c r="X13" s="162"/>
      <c r="Y13" s="165"/>
      <c r="Z13" s="162"/>
      <c r="AA13" s="165"/>
      <c r="AB13" s="162"/>
      <c r="AC13" s="165"/>
      <c r="AD13" s="166"/>
      <c r="AE13" s="164"/>
      <c r="AF13" s="162"/>
      <c r="AG13" s="167"/>
      <c r="AH13" s="162"/>
    </row>
    <row r="14" spans="1:36" s="157" customFormat="1" ht="14.25" customHeight="1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470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8"/>
      <c r="AD14" s="161"/>
      <c r="AE14" s="161"/>
      <c r="AF14" s="161"/>
      <c r="AG14" s="161"/>
      <c r="AH14" s="161"/>
    </row>
    <row r="15" spans="1:36" s="157" customFormat="1" ht="14.25" customHeight="1">
      <c r="A15" s="146">
        <v>3</v>
      </c>
      <c r="B15" s="147" t="s">
        <v>150</v>
      </c>
      <c r="C15" s="145" t="s">
        <v>50</v>
      </c>
      <c r="D15" s="146">
        <v>12500</v>
      </c>
      <c r="E15" s="146">
        <f>ROUNDDOWN((D15/F4),)</f>
        <v>403</v>
      </c>
      <c r="F15" s="146">
        <f>ROUNDDOWN((D15/F4/9),)</f>
        <v>44</v>
      </c>
      <c r="G15" s="146">
        <v>26</v>
      </c>
      <c r="H15" s="146">
        <v>1</v>
      </c>
      <c r="I15" s="146">
        <v>3</v>
      </c>
      <c r="J15" s="146">
        <v>3</v>
      </c>
      <c r="K15" s="146">
        <v>0</v>
      </c>
      <c r="L15" s="148">
        <f>SUM(G15:K15)</f>
        <v>33</v>
      </c>
      <c r="M15" s="146">
        <v>0</v>
      </c>
      <c r="N15" s="149">
        <f>IF(L15=F4,D15,L15*E15)</f>
        <v>13299</v>
      </c>
      <c r="O15" s="146">
        <v>0</v>
      </c>
      <c r="P15" s="469">
        <f>N15+O15</f>
        <v>13299</v>
      </c>
      <c r="Q15" s="150" t="s">
        <v>51</v>
      </c>
      <c r="R15" s="149">
        <v>0</v>
      </c>
      <c r="S15" s="151">
        <v>0</v>
      </c>
      <c r="T15" s="151"/>
      <c r="U15" s="152"/>
      <c r="V15" s="152"/>
      <c r="W15" s="153">
        <v>0</v>
      </c>
      <c r="X15" s="149">
        <f>SUM(R15:W15)</f>
        <v>0</v>
      </c>
      <c r="Y15" s="154">
        <v>0</v>
      </c>
      <c r="Z15" s="154">
        <f>X15-Y15</f>
        <v>0</v>
      </c>
      <c r="AA15" s="154"/>
      <c r="AB15" s="149"/>
      <c r="AC15" s="213">
        <f>P15-Z15+AB15</f>
        <v>13299</v>
      </c>
      <c r="AD15" s="289" t="s">
        <v>212</v>
      </c>
      <c r="AE15" s="155"/>
      <c r="AF15" s="152"/>
      <c r="AG15" s="156"/>
      <c r="AH15" s="152" t="s">
        <v>123</v>
      </c>
    </row>
    <row r="16" spans="1:36" s="157" customFormat="1" ht="14.25" customHeight="1">
      <c r="A16" s="161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470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8"/>
      <c r="AD16" s="161"/>
      <c r="AE16" s="161"/>
      <c r="AF16" s="161"/>
      <c r="AG16" s="161"/>
      <c r="AH16" s="161"/>
    </row>
    <row r="17" spans="1:34" s="157" customFormat="1" ht="14.25" customHeight="1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470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8"/>
      <c r="AD17" s="161"/>
      <c r="AE17" s="161"/>
      <c r="AF17" s="161"/>
      <c r="AG17" s="161"/>
      <c r="AH17" s="161"/>
    </row>
    <row r="18" spans="1:34" s="157" customFormat="1" ht="14.25" customHeight="1">
      <c r="A18" s="146">
        <v>4</v>
      </c>
      <c r="B18" s="147" t="s">
        <v>163</v>
      </c>
      <c r="C18" s="145" t="s">
        <v>50</v>
      </c>
      <c r="D18" s="146">
        <v>12500</v>
      </c>
      <c r="E18" s="146">
        <f>ROUNDDOWN((D18/F4),)</f>
        <v>403</v>
      </c>
      <c r="F18" s="146">
        <f>ROUNDDOWN((D18/F4/9),)</f>
        <v>44</v>
      </c>
      <c r="G18" s="146">
        <v>8</v>
      </c>
      <c r="H18" s="146">
        <v>0</v>
      </c>
      <c r="I18" s="146">
        <v>0</v>
      </c>
      <c r="J18" s="146">
        <v>1</v>
      </c>
      <c r="K18" s="146">
        <v>0</v>
      </c>
      <c r="L18" s="148">
        <f>SUM(G18:K18)</f>
        <v>9</v>
      </c>
      <c r="M18" s="146">
        <v>0</v>
      </c>
      <c r="N18" s="149">
        <f>IF(L18=F8,D18,L18*E18)</f>
        <v>3627</v>
      </c>
      <c r="O18" s="146">
        <v>0</v>
      </c>
      <c r="P18" s="469">
        <f>N18+O18</f>
        <v>3627</v>
      </c>
      <c r="Q18" s="466">
        <v>45956</v>
      </c>
      <c r="R18" s="149">
        <v>1000</v>
      </c>
      <c r="S18" s="151">
        <v>0</v>
      </c>
      <c r="T18" s="151"/>
      <c r="U18" s="152"/>
      <c r="V18" s="152"/>
      <c r="W18" s="153">
        <v>0</v>
      </c>
      <c r="X18" s="149">
        <f>SUM(R18:W18)</f>
        <v>1000</v>
      </c>
      <c r="Y18" s="154">
        <v>1000</v>
      </c>
      <c r="Z18" s="154">
        <f>X18-Y18</f>
        <v>0</v>
      </c>
      <c r="AA18" s="151"/>
      <c r="AB18" s="153"/>
      <c r="AC18" s="214">
        <f>P18-Y18+AB18</f>
        <v>2627</v>
      </c>
      <c r="AD18" s="289" t="s">
        <v>225</v>
      </c>
      <c r="AE18" s="155"/>
      <c r="AF18" s="152"/>
      <c r="AG18" s="156"/>
      <c r="AH18" s="152" t="s">
        <v>123</v>
      </c>
    </row>
    <row r="19" spans="1:34" s="131" customFormat="1" ht="14.25" customHeight="1">
      <c r="A19" s="134"/>
      <c r="B19" s="135"/>
      <c r="C19" s="136"/>
      <c r="D19" s="134"/>
      <c r="E19" s="134"/>
      <c r="F19" s="134"/>
      <c r="G19" s="134"/>
      <c r="H19" s="134"/>
      <c r="I19" s="134"/>
      <c r="J19" s="134"/>
      <c r="K19" s="134"/>
      <c r="L19" s="137"/>
      <c r="M19" s="134"/>
      <c r="N19" s="138"/>
      <c r="O19" s="134"/>
      <c r="P19" s="134"/>
      <c r="Q19" s="139"/>
      <c r="R19" s="138"/>
      <c r="S19" s="140"/>
      <c r="T19" s="140"/>
      <c r="U19" s="138"/>
      <c r="V19" s="138"/>
      <c r="W19" s="138"/>
      <c r="X19" s="138"/>
      <c r="Y19" s="140"/>
      <c r="Z19" s="140"/>
      <c r="AA19" s="140"/>
      <c r="AB19" s="138"/>
      <c r="AC19" s="140"/>
      <c r="AD19" s="141"/>
      <c r="AE19" s="142"/>
      <c r="AF19" s="138"/>
      <c r="AG19" s="143"/>
      <c r="AH19" s="138"/>
    </row>
    <row r="20" spans="1:34" s="131" customFormat="1" ht="14.25" customHeight="1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3">
        <f>SUM(P12:P18)+P10</f>
        <v>45108</v>
      </c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3">
        <f>SUM(AC12:AC18)+AC10</f>
        <v>41608</v>
      </c>
      <c r="AD20" s="132"/>
      <c r="AE20" s="132"/>
      <c r="AF20" s="132"/>
      <c r="AG20" s="132"/>
      <c r="AH20" s="132"/>
    </row>
    <row r="21" spans="1:34" s="131" customFormat="1" ht="14.25" customHeight="1">
      <c r="AC21" s="133"/>
      <c r="AD21" s="144"/>
    </row>
    <row r="22" spans="1:34" s="131" customFormat="1" ht="14.25" customHeight="1">
      <c r="AC22" s="133"/>
      <c r="AD22" s="144"/>
    </row>
    <row r="23" spans="1:34" s="131" customFormat="1" ht="14.25" customHeight="1">
      <c r="AC23" s="133"/>
      <c r="AD23" s="144"/>
    </row>
    <row r="24" spans="1:34" ht="14.25" customHeight="1">
      <c r="AC24" s="54"/>
      <c r="AD24" s="69"/>
    </row>
    <row r="25" spans="1:34" ht="14.25" customHeight="1">
      <c r="AC25" s="54"/>
      <c r="AD25" s="69"/>
    </row>
    <row r="26" spans="1:34" ht="14.25" customHeight="1">
      <c r="AC26" s="54"/>
      <c r="AD26" s="69"/>
    </row>
    <row r="27" spans="1:34" ht="14.25" customHeight="1">
      <c r="AC27" s="54"/>
      <c r="AD27" s="69"/>
    </row>
    <row r="28" spans="1:34" ht="14.25" customHeight="1">
      <c r="AC28" s="54"/>
      <c r="AD28" s="69"/>
    </row>
    <row r="29" spans="1:34" ht="14.25" customHeight="1">
      <c r="AC29" s="54"/>
      <c r="AD29" s="69"/>
    </row>
    <row r="30" spans="1:34" ht="14.25" customHeight="1">
      <c r="AC30" s="54"/>
      <c r="AD30" s="69"/>
    </row>
    <row r="31" spans="1:34" ht="14.25" customHeight="1">
      <c r="AC31" s="54"/>
      <c r="AD31" s="69"/>
    </row>
    <row r="32" spans="1:34" ht="14.25" customHeight="1">
      <c r="AC32" s="54"/>
      <c r="AD32" s="69"/>
    </row>
    <row r="33" spans="29:30" ht="14.25" customHeight="1">
      <c r="AC33" s="54"/>
      <c r="AD33" s="69"/>
    </row>
    <row r="34" spans="29:30" ht="14.25" customHeight="1">
      <c r="AC34" s="54"/>
      <c r="AD34" s="69"/>
    </row>
    <row r="35" spans="29:30" ht="14.25" customHeight="1">
      <c r="AC35" s="54"/>
      <c r="AD35" s="69"/>
    </row>
    <row r="36" spans="29:30" ht="14.25" customHeight="1">
      <c r="AC36" s="54"/>
      <c r="AD36" s="69"/>
    </row>
    <row r="37" spans="29:30" ht="14.25" customHeight="1">
      <c r="AC37" s="54"/>
      <c r="AD37" s="69"/>
    </row>
    <row r="38" spans="29:30" ht="14.25" customHeight="1">
      <c r="AC38" s="54"/>
      <c r="AD38" s="69"/>
    </row>
    <row r="39" spans="29:30" ht="14.25" customHeight="1">
      <c r="AC39" s="54"/>
      <c r="AD39" s="69"/>
    </row>
    <row r="40" spans="29:30" ht="14.25" customHeight="1">
      <c r="AC40" s="54"/>
      <c r="AD40" s="69"/>
    </row>
    <row r="41" spans="29:30" ht="14.25" customHeight="1">
      <c r="AC41" s="54"/>
      <c r="AD41" s="69"/>
    </row>
    <row r="42" spans="29:30" ht="14.25" customHeight="1">
      <c r="AC42" s="54"/>
      <c r="AD42" s="69"/>
    </row>
    <row r="43" spans="29:30" ht="14.25" customHeight="1">
      <c r="AC43" s="54"/>
      <c r="AD43" s="69"/>
    </row>
    <row r="44" spans="29:30" ht="14.25" customHeight="1">
      <c r="AC44" s="54"/>
      <c r="AD44" s="69"/>
    </row>
    <row r="45" spans="29:30" ht="14.25" customHeight="1">
      <c r="AC45" s="54"/>
      <c r="AD45" s="69"/>
    </row>
    <row r="46" spans="29:30" ht="14.25" customHeight="1">
      <c r="AC46" s="54"/>
      <c r="AD46" s="69"/>
    </row>
    <row r="47" spans="29:30" ht="14.25" customHeight="1">
      <c r="AC47" s="54"/>
      <c r="AD47" s="69"/>
    </row>
    <row r="48" spans="29:30" ht="14.25" customHeight="1">
      <c r="AC48" s="54"/>
      <c r="AD48" s="69"/>
    </row>
    <row r="49" spans="29:30" ht="14.25" customHeight="1">
      <c r="AC49" s="54"/>
      <c r="AD49" s="69"/>
    </row>
    <row r="50" spans="29:30" ht="14.25" customHeight="1">
      <c r="AC50" s="54"/>
      <c r="AD50" s="69"/>
    </row>
    <row r="51" spans="29:30" ht="14.25" customHeight="1">
      <c r="AC51" s="54"/>
      <c r="AD51" s="69"/>
    </row>
    <row r="52" spans="29:30" ht="14.25" customHeight="1">
      <c r="AC52" s="54"/>
      <c r="AD52" s="69"/>
    </row>
    <row r="53" spans="29:30" ht="14.25" customHeight="1">
      <c r="AC53" s="54"/>
      <c r="AD53" s="69"/>
    </row>
    <row r="54" spans="29:30" ht="14.25" customHeight="1">
      <c r="AC54" s="54"/>
      <c r="AD54" s="69"/>
    </row>
    <row r="55" spans="29:30" ht="14.25" customHeight="1">
      <c r="AC55" s="54"/>
      <c r="AD55" s="69"/>
    </row>
    <row r="56" spans="29:30" ht="14.25" customHeight="1">
      <c r="AC56" s="54"/>
      <c r="AD56" s="67"/>
    </row>
    <row r="57" spans="29:30" ht="14.25" customHeight="1">
      <c r="AC57" s="54"/>
      <c r="AD57" s="67"/>
    </row>
    <row r="58" spans="29:30" ht="14.25" customHeight="1">
      <c r="AC58" s="54"/>
      <c r="AD58" s="67"/>
    </row>
    <row r="59" spans="29:30" ht="14.25" customHeight="1">
      <c r="AC59" s="54"/>
      <c r="AD59" s="67"/>
    </row>
    <row r="60" spans="29:30" ht="14.25" customHeight="1">
      <c r="AC60" s="54"/>
      <c r="AD60" s="67"/>
    </row>
    <row r="61" spans="29:30" ht="14.25" customHeight="1">
      <c r="AC61" s="54"/>
      <c r="AD61" s="67"/>
    </row>
    <row r="62" spans="29:30" ht="14.25" customHeight="1">
      <c r="AC62" s="54"/>
      <c r="AD62" s="67"/>
    </row>
    <row r="63" spans="29:30" ht="14.25" customHeight="1">
      <c r="AC63" s="54"/>
      <c r="AD63" s="67"/>
    </row>
    <row r="64" spans="29:30" ht="14.25" customHeight="1">
      <c r="AC64" s="54"/>
      <c r="AD64" s="67"/>
    </row>
    <row r="65" spans="29:30" ht="14.25" customHeight="1">
      <c r="AC65" s="54"/>
      <c r="AD65" s="67"/>
    </row>
    <row r="66" spans="29:30" ht="14.25" customHeight="1">
      <c r="AC66" s="54"/>
      <c r="AD66" s="67"/>
    </row>
    <row r="67" spans="29:30" ht="14.25" customHeight="1">
      <c r="AC67" s="54"/>
      <c r="AD67" s="67"/>
    </row>
    <row r="68" spans="29:30" ht="14.25" customHeight="1">
      <c r="AC68" s="54"/>
      <c r="AD68" s="67"/>
    </row>
    <row r="69" spans="29:30" ht="14.25" customHeight="1">
      <c r="AC69" s="54"/>
      <c r="AD69" s="67"/>
    </row>
    <row r="70" spans="29:30" ht="14.25" customHeight="1">
      <c r="AC70" s="54"/>
      <c r="AD70" s="67"/>
    </row>
    <row r="71" spans="29:30" ht="14.25" customHeight="1">
      <c r="AC71" s="54"/>
      <c r="AD71" s="67"/>
    </row>
    <row r="72" spans="29:30" ht="14.25" customHeight="1">
      <c r="AC72" s="54"/>
      <c r="AD72" s="67"/>
    </row>
    <row r="73" spans="29:30" ht="14.25" customHeight="1">
      <c r="AC73" s="54"/>
      <c r="AD73" s="67"/>
    </row>
    <row r="74" spans="29:30" ht="14.25" customHeight="1">
      <c r="AC74" s="54"/>
      <c r="AD74" s="67"/>
    </row>
    <row r="75" spans="29:30" ht="14.25" customHeight="1">
      <c r="AC75" s="54"/>
      <c r="AD75" s="67"/>
    </row>
    <row r="76" spans="29:30" ht="14.25" customHeight="1">
      <c r="AC76" s="54"/>
      <c r="AD76" s="67"/>
    </row>
    <row r="77" spans="29:30" ht="14.25" customHeight="1">
      <c r="AC77" s="54"/>
      <c r="AD77" s="67"/>
    </row>
    <row r="78" spans="29:30" ht="14.25" customHeight="1">
      <c r="AC78" s="54"/>
      <c r="AD78" s="67"/>
    </row>
    <row r="79" spans="29:30" ht="14.25" customHeight="1">
      <c r="AC79" s="54"/>
      <c r="AD79" s="67"/>
    </row>
    <row r="80" spans="29:30" ht="14.25" customHeight="1">
      <c r="AC80" s="54"/>
      <c r="AD80" s="67"/>
    </row>
    <row r="81" spans="29:30" ht="14.25" customHeight="1">
      <c r="AC81" s="54"/>
      <c r="AD81" s="67"/>
    </row>
    <row r="82" spans="29:30" ht="14.25" customHeight="1">
      <c r="AC82" s="54"/>
      <c r="AD82" s="67"/>
    </row>
    <row r="83" spans="29:30" ht="14.25" customHeight="1">
      <c r="AC83" s="54"/>
      <c r="AD83" s="67"/>
    </row>
    <row r="84" spans="29:30" ht="14.25" customHeight="1">
      <c r="AC84" s="54"/>
      <c r="AD84" s="67"/>
    </row>
    <row r="85" spans="29:30" ht="14.25" customHeight="1">
      <c r="AC85" s="54"/>
      <c r="AD85" s="67"/>
    </row>
    <row r="86" spans="29:30" ht="14.25" customHeight="1">
      <c r="AC86" s="54"/>
      <c r="AD86" s="67"/>
    </row>
    <row r="87" spans="29:30" ht="14.25" customHeight="1">
      <c r="AC87" s="54"/>
      <c r="AD87" s="67"/>
    </row>
    <row r="88" spans="29:30" ht="14.25" customHeight="1">
      <c r="AC88" s="54"/>
      <c r="AD88" s="67"/>
    </row>
    <row r="89" spans="29:30" ht="14.25" customHeight="1">
      <c r="AC89" s="54"/>
      <c r="AD89" s="67"/>
    </row>
    <row r="90" spans="29:30" ht="14.25" customHeight="1">
      <c r="AC90" s="54"/>
      <c r="AD90" s="67"/>
    </row>
    <row r="91" spans="29:30" ht="14.25" customHeight="1">
      <c r="AC91" s="54"/>
      <c r="AD91" s="67"/>
    </row>
    <row r="92" spans="29:30" ht="14.25" customHeight="1">
      <c r="AC92" s="54"/>
      <c r="AD92" s="67"/>
    </row>
    <row r="93" spans="29:30" ht="14.25" customHeight="1">
      <c r="AC93" s="54"/>
      <c r="AD93" s="67"/>
    </row>
    <row r="94" spans="29:30" ht="14.25" customHeight="1">
      <c r="AC94" s="54"/>
      <c r="AD94" s="67"/>
    </row>
    <row r="95" spans="29:30" ht="14.25" customHeight="1">
      <c r="AC95" s="54"/>
      <c r="AD95" s="67"/>
    </row>
    <row r="96" spans="29:30" ht="14.25" customHeight="1">
      <c r="AC96" s="54"/>
      <c r="AD96" s="67"/>
    </row>
    <row r="97" spans="29:30" ht="14.25" customHeight="1">
      <c r="AC97" s="54"/>
      <c r="AD97" s="67"/>
    </row>
    <row r="98" spans="29:30" ht="14.25" customHeight="1">
      <c r="AC98" s="54"/>
      <c r="AD98" s="67"/>
    </row>
    <row r="99" spans="29:30" ht="14.25" customHeight="1">
      <c r="AC99" s="54"/>
      <c r="AD99" s="67"/>
    </row>
    <row r="100" spans="29:30" ht="14.25" customHeight="1">
      <c r="AC100" s="54"/>
      <c r="AD100" s="67"/>
    </row>
    <row r="101" spans="29:30" ht="14.25" customHeight="1">
      <c r="AC101" s="54"/>
      <c r="AD101" s="67"/>
    </row>
    <row r="102" spans="29:30" ht="14.25" customHeight="1">
      <c r="AC102" s="54"/>
      <c r="AD102" s="67"/>
    </row>
    <row r="103" spans="29:30" ht="14.25" customHeight="1">
      <c r="AC103" s="54"/>
      <c r="AD103" s="67"/>
    </row>
    <row r="104" spans="29:30" ht="14.25" customHeight="1">
      <c r="AC104" s="54"/>
      <c r="AD104" s="67"/>
    </row>
    <row r="105" spans="29:30" ht="14.25" customHeight="1">
      <c r="AC105" s="54"/>
      <c r="AD105" s="67"/>
    </row>
    <row r="106" spans="29:30" ht="14.25" customHeight="1">
      <c r="AC106" s="54"/>
      <c r="AD106" s="67"/>
    </row>
    <row r="107" spans="29:30" ht="14.25" customHeight="1">
      <c r="AC107" s="54"/>
      <c r="AD107" s="67"/>
    </row>
    <row r="108" spans="29:30" ht="14.25" customHeight="1">
      <c r="AC108" s="54"/>
      <c r="AD108" s="67"/>
    </row>
    <row r="109" spans="29:30" ht="14.25" customHeight="1">
      <c r="AC109" s="54"/>
      <c r="AD109" s="67"/>
    </row>
    <row r="110" spans="29:30" ht="14.25" customHeight="1">
      <c r="AC110" s="54"/>
      <c r="AD110" s="67"/>
    </row>
    <row r="111" spans="29:30" ht="14.25" customHeight="1">
      <c r="AC111" s="54"/>
      <c r="AD111" s="67"/>
    </row>
    <row r="112" spans="29:30" ht="14.25" customHeight="1">
      <c r="AC112" s="54"/>
      <c r="AD112" s="67"/>
    </row>
    <row r="113" spans="29:30" ht="14.25" customHeight="1">
      <c r="AC113" s="54"/>
      <c r="AD113" s="67"/>
    </row>
    <row r="114" spans="29:30" ht="14.25" customHeight="1">
      <c r="AC114" s="54"/>
      <c r="AD114" s="67"/>
    </row>
    <row r="115" spans="29:30" ht="14.25" customHeight="1">
      <c r="AC115" s="54"/>
      <c r="AD115" s="67"/>
    </row>
    <row r="116" spans="29:30" ht="14.25" customHeight="1">
      <c r="AC116" s="54"/>
      <c r="AD116" s="67"/>
    </row>
    <row r="117" spans="29:30" ht="14.25" customHeight="1">
      <c r="AC117" s="54"/>
      <c r="AD117" s="67"/>
    </row>
    <row r="118" spans="29:30" ht="14.25" customHeight="1">
      <c r="AC118" s="54"/>
      <c r="AD118" s="67"/>
    </row>
    <row r="119" spans="29:30" ht="14.25" customHeight="1">
      <c r="AC119" s="54"/>
      <c r="AD119" s="67"/>
    </row>
    <row r="120" spans="29:30" ht="14.25" customHeight="1">
      <c r="AC120" s="54"/>
      <c r="AD120" s="67"/>
    </row>
    <row r="121" spans="29:30" ht="14.25" customHeight="1">
      <c r="AC121" s="54"/>
      <c r="AD121" s="67"/>
    </row>
    <row r="122" spans="29:30" ht="14.25" customHeight="1">
      <c r="AC122" s="54"/>
      <c r="AD122" s="67"/>
    </row>
    <row r="123" spans="29:30" ht="14.25" customHeight="1">
      <c r="AC123" s="54"/>
      <c r="AD123" s="67"/>
    </row>
    <row r="124" spans="29:30" ht="14.25" customHeight="1">
      <c r="AC124" s="54"/>
      <c r="AD124" s="67"/>
    </row>
    <row r="125" spans="29:30" ht="14.25" customHeight="1">
      <c r="AC125" s="54"/>
      <c r="AD125" s="67"/>
    </row>
    <row r="126" spans="29:30" ht="14.25" customHeight="1">
      <c r="AC126" s="54"/>
      <c r="AD126" s="67"/>
    </row>
    <row r="127" spans="29:30" ht="14.25" customHeight="1">
      <c r="AC127" s="54"/>
      <c r="AD127" s="67"/>
    </row>
    <row r="128" spans="29:30" ht="14.25" customHeight="1">
      <c r="AC128" s="54"/>
      <c r="AD128" s="67"/>
    </row>
    <row r="129" spans="29:30" ht="14.25" customHeight="1">
      <c r="AC129" s="54"/>
      <c r="AD129" s="67"/>
    </row>
    <row r="130" spans="29:30" ht="14.25" customHeight="1">
      <c r="AC130" s="54"/>
      <c r="AD130" s="67"/>
    </row>
    <row r="131" spans="29:30" ht="14.25" customHeight="1">
      <c r="AC131" s="54"/>
      <c r="AD131" s="67"/>
    </row>
    <row r="132" spans="29:30" ht="14.25" customHeight="1">
      <c r="AC132" s="54"/>
      <c r="AD132" s="67"/>
    </row>
    <row r="133" spans="29:30" ht="14.25" customHeight="1">
      <c r="AC133" s="54"/>
      <c r="AD133" s="67"/>
    </row>
    <row r="134" spans="29:30" ht="14.25" customHeight="1">
      <c r="AC134" s="54"/>
      <c r="AD134" s="67"/>
    </row>
    <row r="135" spans="29:30" ht="14.25" customHeight="1">
      <c r="AC135" s="54"/>
      <c r="AD135" s="67"/>
    </row>
    <row r="136" spans="29:30" ht="14.25" customHeight="1">
      <c r="AC136" s="54"/>
      <c r="AD136" s="67"/>
    </row>
    <row r="137" spans="29:30" ht="14.25" customHeight="1">
      <c r="AC137" s="54"/>
      <c r="AD137" s="67"/>
    </row>
    <row r="138" spans="29:30" ht="14.25" customHeight="1">
      <c r="AC138" s="54"/>
      <c r="AD138" s="67"/>
    </row>
    <row r="139" spans="29:30" ht="14.25" customHeight="1">
      <c r="AC139" s="54"/>
      <c r="AD139" s="67"/>
    </row>
    <row r="140" spans="29:30" ht="14.25" customHeight="1">
      <c r="AC140" s="54"/>
      <c r="AD140" s="67"/>
    </row>
    <row r="141" spans="29:30" ht="14.25" customHeight="1">
      <c r="AC141" s="54"/>
      <c r="AD141" s="67"/>
    </row>
    <row r="142" spans="29:30" ht="14.25" customHeight="1">
      <c r="AC142" s="54"/>
      <c r="AD142" s="67"/>
    </row>
    <row r="143" spans="29:30" ht="14.25" customHeight="1">
      <c r="AC143" s="54"/>
      <c r="AD143" s="67"/>
    </row>
    <row r="144" spans="29:30" ht="14.25" customHeight="1">
      <c r="AC144" s="54"/>
      <c r="AD144" s="67"/>
    </row>
    <row r="145" spans="29:30" ht="14.25" customHeight="1">
      <c r="AC145" s="54"/>
      <c r="AD145" s="67"/>
    </row>
    <row r="146" spans="29:30" ht="14.25" customHeight="1">
      <c r="AC146" s="54"/>
      <c r="AD146" s="67"/>
    </row>
    <row r="147" spans="29:30" ht="14.25" customHeight="1">
      <c r="AC147" s="54"/>
      <c r="AD147" s="67"/>
    </row>
    <row r="148" spans="29:30" ht="14.25" customHeight="1">
      <c r="AC148" s="54"/>
      <c r="AD148" s="67"/>
    </row>
    <row r="149" spans="29:30" ht="14.25" customHeight="1">
      <c r="AC149" s="54"/>
      <c r="AD149" s="67"/>
    </row>
    <row r="150" spans="29:30" ht="14.25" customHeight="1">
      <c r="AC150" s="54"/>
      <c r="AD150" s="67"/>
    </row>
    <row r="151" spans="29:30" ht="14.25" customHeight="1">
      <c r="AC151" s="54"/>
      <c r="AD151" s="67"/>
    </row>
    <row r="152" spans="29:30" ht="14.25" customHeight="1">
      <c r="AC152" s="54"/>
      <c r="AD152" s="67"/>
    </row>
    <row r="153" spans="29:30" ht="14.25" customHeight="1">
      <c r="AC153" s="54"/>
      <c r="AD153" s="67"/>
    </row>
    <row r="154" spans="29:30" ht="14.25" customHeight="1">
      <c r="AC154" s="54"/>
      <c r="AD154" s="67"/>
    </row>
    <row r="155" spans="29:30" ht="14.25" customHeight="1">
      <c r="AC155" s="54"/>
      <c r="AD155" s="67"/>
    </row>
    <row r="156" spans="29:30" ht="14.25" customHeight="1">
      <c r="AC156" s="54"/>
      <c r="AD156" s="67"/>
    </row>
    <row r="157" spans="29:30" ht="14.25" customHeight="1">
      <c r="AC157" s="54"/>
      <c r="AD157" s="67"/>
    </row>
    <row r="158" spans="29:30" ht="14.25" customHeight="1">
      <c r="AC158" s="54"/>
      <c r="AD158" s="67"/>
    </row>
    <row r="159" spans="29:30" ht="14.25" customHeight="1">
      <c r="AC159" s="54"/>
      <c r="AD159" s="67"/>
    </row>
    <row r="160" spans="29:30" ht="14.25" customHeight="1">
      <c r="AC160" s="54"/>
      <c r="AD160" s="67"/>
    </row>
    <row r="161" spans="29:30" ht="14.25" customHeight="1">
      <c r="AC161" s="54"/>
      <c r="AD161" s="67"/>
    </row>
    <row r="162" spans="29:30" ht="14.25" customHeight="1">
      <c r="AC162" s="54"/>
      <c r="AD162" s="67"/>
    </row>
    <row r="163" spans="29:30" ht="14.25" customHeight="1">
      <c r="AC163" s="54"/>
      <c r="AD163" s="67"/>
    </row>
    <row r="164" spans="29:30" ht="14.25" customHeight="1">
      <c r="AC164" s="54"/>
      <c r="AD164" s="67"/>
    </row>
    <row r="165" spans="29:30" ht="14.25" customHeight="1">
      <c r="AC165" s="54"/>
      <c r="AD165" s="67"/>
    </row>
    <row r="166" spans="29:30" ht="14.25" customHeight="1">
      <c r="AC166" s="54"/>
      <c r="AD166" s="67"/>
    </row>
    <row r="167" spans="29:30" ht="14.25" customHeight="1">
      <c r="AC167" s="54"/>
      <c r="AD167" s="67"/>
    </row>
    <row r="168" spans="29:30" ht="14.25" customHeight="1">
      <c r="AC168" s="54"/>
      <c r="AD168" s="67"/>
    </row>
    <row r="169" spans="29:30" ht="14.25" customHeight="1">
      <c r="AC169" s="54"/>
      <c r="AD169" s="67"/>
    </row>
    <row r="170" spans="29:30" ht="14.25" customHeight="1">
      <c r="AC170" s="54"/>
      <c r="AD170" s="67"/>
    </row>
    <row r="171" spans="29:30" ht="14.25" customHeight="1">
      <c r="AC171" s="54"/>
      <c r="AD171" s="67"/>
    </row>
    <row r="172" spans="29:30" ht="14.25" customHeight="1">
      <c r="AC172" s="54"/>
      <c r="AD172" s="67"/>
    </row>
    <row r="173" spans="29:30" ht="14.25" customHeight="1">
      <c r="AC173" s="54"/>
      <c r="AD173" s="67"/>
    </row>
    <row r="174" spans="29:30" ht="14.25" customHeight="1">
      <c r="AC174" s="54"/>
      <c r="AD174" s="67"/>
    </row>
    <row r="175" spans="29:30" ht="14.25" customHeight="1">
      <c r="AC175" s="54"/>
      <c r="AD175" s="67"/>
    </row>
    <row r="176" spans="29:30" ht="14.25" customHeight="1">
      <c r="AC176" s="54"/>
      <c r="AD176" s="67"/>
    </row>
    <row r="177" spans="29:30" ht="14.25" customHeight="1">
      <c r="AC177" s="54"/>
      <c r="AD177" s="67"/>
    </row>
    <row r="178" spans="29:30" ht="14.25" customHeight="1">
      <c r="AC178" s="54"/>
      <c r="AD178" s="67"/>
    </row>
    <row r="179" spans="29:30" ht="14.25" customHeight="1">
      <c r="AC179" s="54"/>
      <c r="AD179" s="67"/>
    </row>
    <row r="180" spans="29:30" ht="14.25" customHeight="1">
      <c r="AC180" s="54"/>
      <c r="AD180" s="67"/>
    </row>
    <row r="181" spans="29:30" ht="14.25" customHeight="1">
      <c r="AC181" s="54"/>
      <c r="AD181" s="67"/>
    </row>
    <row r="182" spans="29:30" ht="14.25" customHeight="1">
      <c r="AC182" s="54"/>
      <c r="AD182" s="67"/>
    </row>
    <row r="183" spans="29:30" ht="14.25" customHeight="1">
      <c r="AC183" s="54"/>
      <c r="AD183" s="67"/>
    </row>
    <row r="184" spans="29:30" ht="14.25" customHeight="1">
      <c r="AC184" s="54"/>
      <c r="AD184" s="67"/>
    </row>
    <row r="185" spans="29:30" ht="14.25" customHeight="1">
      <c r="AC185" s="54"/>
      <c r="AD185" s="67"/>
    </row>
    <row r="186" spans="29:30" ht="14.25" customHeight="1">
      <c r="AC186" s="54"/>
      <c r="AD186" s="67"/>
    </row>
    <row r="187" spans="29:30" ht="14.25" customHeight="1">
      <c r="AC187" s="54"/>
      <c r="AD187" s="67"/>
    </row>
    <row r="188" spans="29:30" ht="14.25" customHeight="1">
      <c r="AC188" s="54"/>
      <c r="AD188" s="67"/>
    </row>
    <row r="189" spans="29:30" ht="14.25" customHeight="1">
      <c r="AC189" s="54"/>
      <c r="AD189" s="67"/>
    </row>
    <row r="190" spans="29:30" ht="14.25" customHeight="1">
      <c r="AC190" s="54"/>
      <c r="AD190" s="67"/>
    </row>
    <row r="191" spans="29:30" ht="14.25" customHeight="1">
      <c r="AC191" s="54"/>
      <c r="AD191" s="67"/>
    </row>
    <row r="192" spans="29:30" ht="14.25" customHeight="1">
      <c r="AC192" s="54"/>
      <c r="AD192" s="67"/>
    </row>
    <row r="193" spans="29:30" ht="14.25" customHeight="1">
      <c r="AC193" s="54"/>
      <c r="AD193" s="67"/>
    </row>
    <row r="194" spans="29:30" ht="14.25" customHeight="1">
      <c r="AC194" s="54"/>
      <c r="AD194" s="67"/>
    </row>
    <row r="195" spans="29:30" ht="14.25" customHeight="1">
      <c r="AC195" s="54"/>
      <c r="AD195" s="67"/>
    </row>
    <row r="196" spans="29:30" ht="14.25" customHeight="1">
      <c r="AC196" s="54"/>
      <c r="AD196" s="67"/>
    </row>
    <row r="197" spans="29:30" ht="14.25" customHeight="1">
      <c r="AC197" s="54"/>
      <c r="AD197" s="67"/>
    </row>
    <row r="198" spans="29:30" ht="14.25" customHeight="1">
      <c r="AC198" s="54"/>
      <c r="AD198" s="67"/>
    </row>
    <row r="199" spans="29:30" ht="14.25" customHeight="1">
      <c r="AC199" s="54"/>
      <c r="AD199" s="67"/>
    </row>
    <row r="200" spans="29:30" ht="14.25" customHeight="1">
      <c r="AC200" s="54"/>
      <c r="AD200" s="67"/>
    </row>
    <row r="201" spans="29:30" ht="14.25" customHeight="1">
      <c r="AC201" s="54"/>
      <c r="AD201" s="67"/>
    </row>
    <row r="202" spans="29:30" ht="14.25" customHeight="1">
      <c r="AC202" s="54"/>
      <c r="AD202" s="67"/>
    </row>
    <row r="203" spans="29:30" ht="14.25" customHeight="1">
      <c r="AC203" s="54"/>
      <c r="AD203" s="67"/>
    </row>
    <row r="204" spans="29:30" ht="14.25" customHeight="1">
      <c r="AC204" s="54"/>
      <c r="AD204" s="67"/>
    </row>
    <row r="205" spans="29:30" ht="14.25" customHeight="1">
      <c r="AC205" s="54"/>
      <c r="AD205" s="67"/>
    </row>
    <row r="206" spans="29:30" ht="14.25" customHeight="1">
      <c r="AC206" s="54"/>
      <c r="AD206" s="67"/>
    </row>
    <row r="207" spans="29:30" ht="14.25" customHeight="1">
      <c r="AC207" s="54"/>
      <c r="AD207" s="67"/>
    </row>
    <row r="208" spans="29:30" ht="14.25" customHeight="1">
      <c r="AC208" s="54"/>
      <c r="AD208" s="67"/>
    </row>
    <row r="209" spans="29:30" ht="14.25" customHeight="1">
      <c r="AC209" s="54"/>
      <c r="AD209" s="67"/>
    </row>
    <row r="210" spans="29:30" ht="14.25" customHeight="1">
      <c r="AC210" s="54"/>
      <c r="AD210" s="67"/>
    </row>
    <row r="211" spans="29:30" ht="14.25" customHeight="1">
      <c r="AC211" s="54"/>
      <c r="AD211" s="67"/>
    </row>
    <row r="212" spans="29:30" ht="14.25" customHeight="1">
      <c r="AC212" s="54"/>
      <c r="AD212" s="67"/>
    </row>
    <row r="213" spans="29:30" ht="14.25" customHeight="1">
      <c r="AC213" s="54"/>
      <c r="AD213" s="67"/>
    </row>
    <row r="214" spans="29:30" ht="14.25" customHeight="1">
      <c r="AC214" s="54"/>
      <c r="AD214" s="67"/>
    </row>
    <row r="215" spans="29:30" ht="14.25" customHeight="1">
      <c r="AC215" s="54"/>
      <c r="AD215" s="67"/>
    </row>
    <row r="216" spans="29:30" ht="14.25" customHeight="1">
      <c r="AC216" s="54"/>
      <c r="AD216" s="67"/>
    </row>
    <row r="217" spans="29:30" ht="14.25" customHeight="1">
      <c r="AC217" s="54"/>
      <c r="AD217" s="67"/>
    </row>
    <row r="218" spans="29:30" ht="14.25" customHeight="1">
      <c r="AC218" s="54"/>
      <c r="AD218" s="67"/>
    </row>
    <row r="219" spans="29:30" ht="14.25" customHeight="1">
      <c r="AC219" s="54"/>
      <c r="AD219" s="67"/>
    </row>
    <row r="220" spans="29:30" ht="14.25" customHeight="1">
      <c r="AC220" s="54"/>
      <c r="AD220" s="67"/>
    </row>
    <row r="221" spans="29:30" ht="14.25" customHeight="1">
      <c r="AC221" s="54"/>
      <c r="AD221" s="67"/>
    </row>
    <row r="222" spans="29:30" ht="14.25" customHeight="1">
      <c r="AC222" s="54"/>
      <c r="AD222" s="67"/>
    </row>
    <row r="223" spans="29:30" ht="14.25" customHeight="1">
      <c r="AC223" s="54"/>
      <c r="AD223" s="67"/>
    </row>
    <row r="224" spans="29:30" ht="14.25" customHeight="1">
      <c r="AC224" s="54"/>
      <c r="AD224" s="67"/>
    </row>
    <row r="225" spans="29:30" ht="14.25" customHeight="1">
      <c r="AC225" s="54"/>
      <c r="AD225" s="67"/>
    </row>
    <row r="226" spans="29:30" ht="14.25" customHeight="1">
      <c r="AC226" s="54"/>
      <c r="AD226" s="67"/>
    </row>
    <row r="227" spans="29:30" ht="14.25" customHeight="1">
      <c r="AC227" s="54"/>
      <c r="AD227" s="67"/>
    </row>
    <row r="228" spans="29:30" ht="14.25" customHeight="1">
      <c r="AC228" s="54"/>
      <c r="AD228" s="67"/>
    </row>
    <row r="229" spans="29:30" ht="14.25" customHeight="1">
      <c r="AC229" s="54"/>
      <c r="AD229" s="67"/>
    </row>
    <row r="230" spans="29:30" ht="14.25" customHeight="1">
      <c r="AC230" s="54"/>
      <c r="AD230" s="67"/>
    </row>
    <row r="231" spans="29:30" ht="14.25" customHeight="1">
      <c r="AC231" s="54"/>
      <c r="AD231" s="67"/>
    </row>
    <row r="232" spans="29:30" ht="14.25" customHeight="1">
      <c r="AC232" s="54"/>
      <c r="AD232" s="67"/>
    </row>
    <row r="233" spans="29:30" ht="14.25" customHeight="1">
      <c r="AC233" s="54"/>
      <c r="AD233" s="67"/>
    </row>
    <row r="234" spans="29:30" ht="14.25" customHeight="1">
      <c r="AC234" s="54"/>
      <c r="AD234" s="67"/>
    </row>
    <row r="235" spans="29:30" ht="14.25" customHeight="1">
      <c r="AC235" s="54"/>
      <c r="AD235" s="67"/>
    </row>
    <row r="236" spans="29:30" ht="14.25" customHeight="1">
      <c r="AC236" s="54"/>
      <c r="AD236" s="67"/>
    </row>
    <row r="237" spans="29:30" ht="14.25" customHeight="1">
      <c r="AC237" s="54"/>
      <c r="AD237" s="67"/>
    </row>
    <row r="238" spans="29:30" ht="14.25" customHeight="1">
      <c r="AC238" s="54"/>
      <c r="AD238" s="67"/>
    </row>
    <row r="239" spans="29:30" ht="14.25" customHeight="1">
      <c r="AC239" s="54"/>
      <c r="AD239" s="67"/>
    </row>
    <row r="240" spans="29:30" ht="14.25" customHeight="1">
      <c r="AC240" s="54"/>
      <c r="AD240" s="67"/>
    </row>
    <row r="241" spans="29:30" ht="14.25" customHeight="1">
      <c r="AC241" s="54"/>
      <c r="AD241" s="67"/>
    </row>
    <row r="242" spans="29:30" ht="14.25" customHeight="1">
      <c r="AC242" s="54"/>
      <c r="AD242" s="67"/>
    </row>
    <row r="243" spans="29:30" ht="14.25" customHeight="1">
      <c r="AC243" s="54"/>
      <c r="AD243" s="67"/>
    </row>
    <row r="244" spans="29:30" ht="14.25" customHeight="1">
      <c r="AC244" s="54"/>
      <c r="AD244" s="67"/>
    </row>
    <row r="245" spans="29:30" ht="14.25" customHeight="1">
      <c r="AC245" s="54"/>
      <c r="AD245" s="67"/>
    </row>
    <row r="246" spans="29:30" ht="14.25" customHeight="1">
      <c r="AC246" s="54"/>
      <c r="AD246" s="67"/>
    </row>
    <row r="247" spans="29:30" ht="14.25" customHeight="1">
      <c r="AC247" s="54"/>
      <c r="AD247" s="67"/>
    </row>
    <row r="248" spans="29:30" ht="14.25" customHeight="1">
      <c r="AC248" s="54"/>
      <c r="AD248" s="67"/>
    </row>
    <row r="249" spans="29:30" ht="14.25" customHeight="1">
      <c r="AC249" s="54"/>
      <c r="AD249" s="67"/>
    </row>
    <row r="250" spans="29:30" ht="14.25" customHeight="1">
      <c r="AC250" s="54"/>
      <c r="AD250" s="67"/>
    </row>
    <row r="251" spans="29:30" ht="14.25" customHeight="1">
      <c r="AC251" s="54"/>
      <c r="AD251" s="67"/>
    </row>
    <row r="252" spans="29:30" ht="14.25" customHeight="1">
      <c r="AC252" s="54"/>
      <c r="AD252" s="67"/>
    </row>
    <row r="253" spans="29:30" ht="14.25" customHeight="1">
      <c r="AC253" s="54"/>
      <c r="AD253" s="67"/>
    </row>
    <row r="254" spans="29:30" ht="14.25" customHeight="1">
      <c r="AC254" s="54"/>
      <c r="AD254" s="67"/>
    </row>
    <row r="255" spans="29:30" ht="14.25" customHeight="1">
      <c r="AC255" s="54"/>
      <c r="AD255" s="67"/>
    </row>
    <row r="256" spans="29:30" ht="14.25" customHeight="1">
      <c r="AC256" s="54"/>
      <c r="AD256" s="67"/>
    </row>
    <row r="257" spans="29:30" ht="14.25" customHeight="1">
      <c r="AC257" s="54"/>
      <c r="AD257" s="67"/>
    </row>
    <row r="258" spans="29:30" ht="14.25" customHeight="1">
      <c r="AC258" s="54"/>
      <c r="AD258" s="67"/>
    </row>
    <row r="259" spans="29:30" ht="14.25" customHeight="1">
      <c r="AC259" s="54"/>
      <c r="AD259" s="67"/>
    </row>
    <row r="260" spans="29:30" ht="14.25" customHeight="1">
      <c r="AC260" s="54"/>
      <c r="AD260" s="67"/>
    </row>
    <row r="261" spans="29:30" ht="14.25" customHeight="1">
      <c r="AC261" s="54"/>
      <c r="AD261" s="67"/>
    </row>
    <row r="262" spans="29:30" ht="14.25" customHeight="1">
      <c r="AC262" s="54"/>
      <c r="AD262" s="67"/>
    </row>
    <row r="263" spans="29:30" ht="14.25" customHeight="1">
      <c r="AC263" s="54"/>
      <c r="AD263" s="67"/>
    </row>
    <row r="264" spans="29:30" ht="14.25" customHeight="1">
      <c r="AC264" s="54"/>
      <c r="AD264" s="67"/>
    </row>
    <row r="265" spans="29:30" ht="14.25" customHeight="1">
      <c r="AC265" s="54"/>
      <c r="AD265" s="67"/>
    </row>
    <row r="266" spans="29:30" ht="14.25" customHeight="1">
      <c r="AC266" s="54"/>
      <c r="AD266" s="67"/>
    </row>
    <row r="267" spans="29:30" ht="14.25" customHeight="1">
      <c r="AC267" s="54"/>
      <c r="AD267" s="67"/>
    </row>
    <row r="268" spans="29:30" ht="14.25" customHeight="1">
      <c r="AC268" s="54"/>
      <c r="AD268" s="67"/>
    </row>
    <row r="269" spans="29:30" ht="14.25" customHeight="1">
      <c r="AC269" s="54"/>
      <c r="AD269" s="67"/>
    </row>
    <row r="270" spans="29:30" ht="14.25" customHeight="1">
      <c r="AC270" s="54"/>
      <c r="AD270" s="67"/>
    </row>
    <row r="271" spans="29:30" ht="14.25" customHeight="1">
      <c r="AC271" s="54"/>
      <c r="AD271" s="67"/>
    </row>
    <row r="272" spans="29:30" ht="14.25" customHeight="1">
      <c r="AC272" s="54"/>
      <c r="AD272" s="67"/>
    </row>
    <row r="273" spans="29:30" ht="14.25" customHeight="1">
      <c r="AC273" s="54"/>
      <c r="AD273" s="67"/>
    </row>
    <row r="274" spans="29:30" ht="14.25" customHeight="1">
      <c r="AC274" s="54"/>
      <c r="AD274" s="67"/>
    </row>
    <row r="275" spans="29:30" ht="14.25" customHeight="1">
      <c r="AC275" s="54"/>
      <c r="AD275" s="67"/>
    </row>
    <row r="276" spans="29:30" ht="14.25" customHeight="1">
      <c r="AC276" s="54"/>
      <c r="AD276" s="67"/>
    </row>
    <row r="277" spans="29:30" ht="14.25" customHeight="1">
      <c r="AC277" s="54"/>
      <c r="AD277" s="67"/>
    </row>
    <row r="278" spans="29:30" ht="14.25" customHeight="1">
      <c r="AC278" s="54"/>
      <c r="AD278" s="67"/>
    </row>
    <row r="279" spans="29:30" ht="14.25" customHeight="1">
      <c r="AC279" s="54"/>
      <c r="AD279" s="67"/>
    </row>
    <row r="280" spans="29:30" ht="14.25" customHeight="1">
      <c r="AC280" s="54"/>
      <c r="AD280" s="67"/>
    </row>
    <row r="281" spans="29:30" ht="14.25" customHeight="1">
      <c r="AC281" s="54"/>
      <c r="AD281" s="67"/>
    </row>
    <row r="282" spans="29:30" ht="14.25" customHeight="1">
      <c r="AC282" s="54"/>
      <c r="AD282" s="67"/>
    </row>
    <row r="283" spans="29:30" ht="14.25" customHeight="1">
      <c r="AC283" s="54"/>
      <c r="AD283" s="67"/>
    </row>
    <row r="284" spans="29:30" ht="14.25" customHeight="1">
      <c r="AC284" s="54"/>
      <c r="AD284" s="67"/>
    </row>
    <row r="285" spans="29:30" ht="14.25" customHeight="1">
      <c r="AC285" s="54"/>
      <c r="AD285" s="67"/>
    </row>
    <row r="286" spans="29:30" ht="14.25" customHeight="1">
      <c r="AC286" s="54"/>
      <c r="AD286" s="67"/>
    </row>
    <row r="287" spans="29:30" ht="14.25" customHeight="1">
      <c r="AC287" s="54"/>
      <c r="AD287" s="67"/>
    </row>
    <row r="288" spans="29:30" ht="14.25" customHeight="1">
      <c r="AC288" s="54"/>
      <c r="AD288" s="67"/>
    </row>
    <row r="289" spans="29:30" ht="14.25" customHeight="1">
      <c r="AC289" s="54"/>
      <c r="AD289" s="67"/>
    </row>
    <row r="290" spans="29:30" ht="14.25" customHeight="1">
      <c r="AC290" s="54"/>
      <c r="AD290" s="67"/>
    </row>
    <row r="291" spans="29:30" ht="14.25" customHeight="1">
      <c r="AC291" s="54"/>
      <c r="AD291" s="67"/>
    </row>
    <row r="292" spans="29:30" ht="14.25" customHeight="1">
      <c r="AC292" s="54"/>
      <c r="AD292" s="67"/>
    </row>
    <row r="293" spans="29:30" ht="14.25" customHeight="1">
      <c r="AC293" s="54"/>
      <c r="AD293" s="67"/>
    </row>
    <row r="294" spans="29:30" ht="14.25" customHeight="1">
      <c r="AC294" s="54"/>
      <c r="AD294" s="67"/>
    </row>
    <row r="295" spans="29:30" ht="14.25" customHeight="1">
      <c r="AC295" s="54"/>
      <c r="AD295" s="67"/>
    </row>
    <row r="296" spans="29:30" ht="14.25" customHeight="1">
      <c r="AC296" s="54"/>
      <c r="AD296" s="67"/>
    </row>
    <row r="297" spans="29:30" ht="14.25" customHeight="1">
      <c r="AC297" s="54"/>
      <c r="AD297" s="67"/>
    </row>
    <row r="298" spans="29:30" ht="14.25" customHeight="1">
      <c r="AC298" s="54"/>
      <c r="AD298" s="67"/>
    </row>
    <row r="299" spans="29:30" ht="14.25" customHeight="1">
      <c r="AC299" s="54"/>
      <c r="AD299" s="67"/>
    </row>
    <row r="300" spans="29:30" ht="14.25" customHeight="1">
      <c r="AC300" s="54"/>
      <c r="AD300" s="67"/>
    </row>
    <row r="301" spans="29:30" ht="14.25" customHeight="1">
      <c r="AC301" s="54"/>
      <c r="AD301" s="67"/>
    </row>
    <row r="302" spans="29:30" ht="14.25" customHeight="1">
      <c r="AC302" s="54"/>
      <c r="AD302" s="67"/>
    </row>
    <row r="303" spans="29:30" ht="14.25" customHeight="1">
      <c r="AC303" s="54"/>
      <c r="AD303" s="67"/>
    </row>
    <row r="304" spans="29:30" ht="14.25" customHeight="1">
      <c r="AC304" s="54"/>
      <c r="AD304" s="67"/>
    </row>
    <row r="305" spans="29:30" ht="14.25" customHeight="1">
      <c r="AC305" s="54"/>
      <c r="AD305" s="67"/>
    </row>
    <row r="306" spans="29:30" ht="14.25" customHeight="1">
      <c r="AC306" s="54"/>
      <c r="AD306" s="67"/>
    </row>
    <row r="307" spans="29:30" ht="14.25" customHeight="1">
      <c r="AC307" s="54"/>
      <c r="AD307" s="67"/>
    </row>
    <row r="308" spans="29:30" ht="14.25" customHeight="1">
      <c r="AC308" s="54"/>
      <c r="AD308" s="67"/>
    </row>
    <row r="309" spans="29:30" ht="14.25" customHeight="1">
      <c r="AC309" s="54"/>
      <c r="AD309" s="67"/>
    </row>
    <row r="310" spans="29:30" ht="14.25" customHeight="1">
      <c r="AC310" s="54"/>
      <c r="AD310" s="67"/>
    </row>
    <row r="311" spans="29:30" ht="14.25" customHeight="1">
      <c r="AC311" s="54"/>
      <c r="AD311" s="67"/>
    </row>
    <row r="312" spans="29:30" ht="14.25" customHeight="1">
      <c r="AC312" s="54"/>
      <c r="AD312" s="67"/>
    </row>
    <row r="313" spans="29:30" ht="14.25" customHeight="1">
      <c r="AC313" s="54"/>
      <c r="AD313" s="67"/>
    </row>
    <row r="314" spans="29:30" ht="14.25" customHeight="1">
      <c r="AC314" s="54"/>
      <c r="AD314" s="67"/>
    </row>
    <row r="315" spans="29:30" ht="14.25" customHeight="1">
      <c r="AC315" s="54"/>
      <c r="AD315" s="67"/>
    </row>
    <row r="316" spans="29:30" ht="14.25" customHeight="1">
      <c r="AC316" s="54"/>
      <c r="AD316" s="67"/>
    </row>
    <row r="317" spans="29:30" ht="14.25" customHeight="1">
      <c r="AC317" s="54"/>
      <c r="AD317" s="67"/>
    </row>
    <row r="318" spans="29:30" ht="14.25" customHeight="1">
      <c r="AC318" s="54"/>
      <c r="AD318" s="67"/>
    </row>
    <row r="319" spans="29:30" ht="14.25" customHeight="1">
      <c r="AC319" s="54"/>
      <c r="AD319" s="67"/>
    </row>
    <row r="320" spans="29:30" ht="14.25" customHeight="1">
      <c r="AC320" s="54"/>
      <c r="AD320" s="67"/>
    </row>
    <row r="321" spans="29:30" ht="14.25" customHeight="1">
      <c r="AC321" s="54"/>
      <c r="AD321" s="67"/>
    </row>
    <row r="322" spans="29:30" ht="14.25" customHeight="1">
      <c r="AC322" s="54"/>
      <c r="AD322" s="67"/>
    </row>
    <row r="323" spans="29:30" ht="14.25" customHeight="1">
      <c r="AC323" s="54"/>
      <c r="AD323" s="67"/>
    </row>
    <row r="324" spans="29:30" ht="14.25" customHeight="1">
      <c r="AC324" s="54"/>
      <c r="AD324" s="67"/>
    </row>
    <row r="325" spans="29:30" ht="14.25" customHeight="1">
      <c r="AC325" s="54"/>
      <c r="AD325" s="67"/>
    </row>
    <row r="326" spans="29:30" ht="14.25" customHeight="1">
      <c r="AC326" s="54"/>
      <c r="AD326" s="67"/>
    </row>
    <row r="327" spans="29:30" ht="14.25" customHeight="1">
      <c r="AC327" s="54"/>
      <c r="AD327" s="67"/>
    </row>
    <row r="328" spans="29:30" ht="14.25" customHeight="1">
      <c r="AC328" s="54"/>
      <c r="AD328" s="67"/>
    </row>
    <row r="329" spans="29:30" ht="14.25" customHeight="1">
      <c r="AC329" s="54"/>
      <c r="AD329" s="67"/>
    </row>
    <row r="330" spans="29:30" ht="14.25" customHeight="1">
      <c r="AC330" s="54"/>
      <c r="AD330" s="67"/>
    </row>
    <row r="331" spans="29:30" ht="14.25" customHeight="1">
      <c r="AC331" s="54"/>
      <c r="AD331" s="67"/>
    </row>
    <row r="332" spans="29:30" ht="14.25" customHeight="1">
      <c r="AC332" s="54"/>
      <c r="AD332" s="67"/>
    </row>
    <row r="333" spans="29:30" ht="14.25" customHeight="1">
      <c r="AC333" s="54"/>
      <c r="AD333" s="67"/>
    </row>
    <row r="334" spans="29:30" ht="14.25" customHeight="1">
      <c r="AC334" s="54"/>
      <c r="AD334" s="67"/>
    </row>
    <row r="335" spans="29:30" ht="14.25" customHeight="1">
      <c r="AC335" s="54"/>
      <c r="AD335" s="67"/>
    </row>
    <row r="336" spans="29:30" ht="14.25" customHeight="1">
      <c r="AC336" s="54"/>
      <c r="AD336" s="67"/>
    </row>
    <row r="337" spans="29:30" ht="14.25" customHeight="1">
      <c r="AC337" s="54"/>
      <c r="AD337" s="67"/>
    </row>
    <row r="338" spans="29:30" ht="14.25" customHeight="1">
      <c r="AC338" s="54"/>
      <c r="AD338" s="67"/>
    </row>
    <row r="339" spans="29:30" ht="14.25" customHeight="1">
      <c r="AC339" s="54"/>
      <c r="AD339" s="67"/>
    </row>
    <row r="340" spans="29:30" ht="14.25" customHeight="1">
      <c r="AC340" s="54"/>
      <c r="AD340" s="67"/>
    </row>
    <row r="341" spans="29:30" ht="14.25" customHeight="1">
      <c r="AC341" s="54"/>
      <c r="AD341" s="67"/>
    </row>
    <row r="342" spans="29:30" ht="14.25" customHeight="1">
      <c r="AC342" s="54"/>
      <c r="AD342" s="67"/>
    </row>
    <row r="343" spans="29:30" ht="14.25" customHeight="1">
      <c r="AC343" s="54"/>
      <c r="AD343" s="67"/>
    </row>
    <row r="344" spans="29:30" ht="14.25" customHeight="1">
      <c r="AC344" s="54"/>
      <c r="AD344" s="67"/>
    </row>
    <row r="345" spans="29:30" ht="14.25" customHeight="1">
      <c r="AC345" s="54"/>
      <c r="AD345" s="67"/>
    </row>
    <row r="346" spans="29:30" ht="14.25" customHeight="1">
      <c r="AC346" s="54"/>
      <c r="AD346" s="67"/>
    </row>
    <row r="347" spans="29:30" ht="14.25" customHeight="1">
      <c r="AC347" s="54"/>
      <c r="AD347" s="67"/>
    </row>
    <row r="348" spans="29:30" ht="14.25" customHeight="1">
      <c r="AC348" s="54"/>
      <c r="AD348" s="67"/>
    </row>
    <row r="349" spans="29:30" ht="14.25" customHeight="1">
      <c r="AC349" s="54"/>
      <c r="AD349" s="67"/>
    </row>
    <row r="350" spans="29:30" ht="14.25" customHeight="1">
      <c r="AC350" s="54"/>
      <c r="AD350" s="67"/>
    </row>
    <row r="351" spans="29:30" ht="14.25" customHeight="1">
      <c r="AC351" s="54"/>
      <c r="AD351" s="67"/>
    </row>
    <row r="352" spans="29:30" ht="14.25" customHeight="1">
      <c r="AC352" s="54"/>
      <c r="AD352" s="67"/>
    </row>
    <row r="353" spans="29:30" ht="14.25" customHeight="1">
      <c r="AC353" s="54"/>
      <c r="AD353" s="67"/>
    </row>
    <row r="354" spans="29:30" ht="14.25" customHeight="1">
      <c r="AC354" s="54"/>
      <c r="AD354" s="67"/>
    </row>
    <row r="355" spans="29:30" ht="14.25" customHeight="1">
      <c r="AC355" s="54"/>
      <c r="AD355" s="67"/>
    </row>
    <row r="356" spans="29:30" ht="14.25" customHeight="1">
      <c r="AC356" s="54"/>
      <c r="AD356" s="67"/>
    </row>
    <row r="357" spans="29:30" ht="14.25" customHeight="1">
      <c r="AC357" s="54"/>
      <c r="AD357" s="67"/>
    </row>
    <row r="358" spans="29:30" ht="14.25" customHeight="1">
      <c r="AC358" s="54"/>
      <c r="AD358" s="67"/>
    </row>
    <row r="359" spans="29:30" ht="14.25" customHeight="1">
      <c r="AC359" s="54"/>
      <c r="AD359" s="67"/>
    </row>
    <row r="360" spans="29:30" ht="14.25" customHeight="1">
      <c r="AC360" s="54"/>
      <c r="AD360" s="67"/>
    </row>
    <row r="361" spans="29:30" ht="14.25" customHeight="1">
      <c r="AC361" s="54"/>
      <c r="AD361" s="67"/>
    </row>
    <row r="362" spans="29:30" ht="14.25" customHeight="1">
      <c r="AC362" s="54"/>
      <c r="AD362" s="67"/>
    </row>
    <row r="363" spans="29:30" ht="14.25" customHeight="1">
      <c r="AC363" s="54"/>
      <c r="AD363" s="67"/>
    </row>
    <row r="364" spans="29:30" ht="14.25" customHeight="1">
      <c r="AC364" s="54"/>
      <c r="AD364" s="67"/>
    </row>
    <row r="365" spans="29:30" ht="14.25" customHeight="1">
      <c r="AC365" s="54"/>
      <c r="AD365" s="67"/>
    </row>
    <row r="366" spans="29:30" ht="14.25" customHeight="1">
      <c r="AC366" s="54"/>
      <c r="AD366" s="67"/>
    </row>
    <row r="367" spans="29:30" ht="14.25" customHeight="1">
      <c r="AC367" s="54"/>
      <c r="AD367" s="67"/>
    </row>
    <row r="368" spans="29:30" ht="14.25" customHeight="1">
      <c r="AC368" s="54"/>
      <c r="AD368" s="67"/>
    </row>
    <row r="369" spans="29:30" ht="14.25" customHeight="1">
      <c r="AC369" s="54"/>
      <c r="AD369" s="67"/>
    </row>
    <row r="370" spans="29:30" ht="14.25" customHeight="1">
      <c r="AC370" s="54"/>
      <c r="AD370" s="67"/>
    </row>
    <row r="371" spans="29:30" ht="14.25" customHeight="1">
      <c r="AC371" s="54"/>
      <c r="AD371" s="67"/>
    </row>
    <row r="372" spans="29:30" ht="14.25" customHeight="1">
      <c r="AC372" s="54"/>
      <c r="AD372" s="67"/>
    </row>
    <row r="373" spans="29:30" ht="14.25" customHeight="1">
      <c r="AC373" s="54"/>
      <c r="AD373" s="67"/>
    </row>
    <row r="374" spans="29:30" ht="14.25" customHeight="1">
      <c r="AC374" s="54"/>
      <c r="AD374" s="67"/>
    </row>
    <row r="375" spans="29:30" ht="14.25" customHeight="1">
      <c r="AC375" s="54"/>
      <c r="AD375" s="67"/>
    </row>
    <row r="376" spans="29:30" ht="14.25" customHeight="1">
      <c r="AC376" s="54"/>
      <c r="AD376" s="67"/>
    </row>
    <row r="377" spans="29:30" ht="14.25" customHeight="1">
      <c r="AC377" s="54"/>
      <c r="AD377" s="67"/>
    </row>
    <row r="378" spans="29:30" ht="14.25" customHeight="1">
      <c r="AC378" s="54"/>
      <c r="AD378" s="67"/>
    </row>
    <row r="379" spans="29:30" ht="14.25" customHeight="1">
      <c r="AC379" s="54"/>
      <c r="AD379" s="67"/>
    </row>
    <row r="380" spans="29:30" ht="14.25" customHeight="1">
      <c r="AC380" s="54"/>
      <c r="AD380" s="67"/>
    </row>
    <row r="381" spans="29:30" ht="14.25" customHeight="1">
      <c r="AC381" s="54"/>
      <c r="AD381" s="67"/>
    </row>
    <row r="382" spans="29:30" ht="14.25" customHeight="1">
      <c r="AC382" s="54"/>
      <c r="AD382" s="67"/>
    </row>
    <row r="383" spans="29:30" ht="14.25" customHeight="1">
      <c r="AC383" s="54"/>
      <c r="AD383" s="67"/>
    </row>
    <row r="384" spans="29:30" ht="14.25" customHeight="1">
      <c r="AC384" s="54"/>
      <c r="AD384" s="67"/>
    </row>
    <row r="385" spans="29:30" ht="14.25" customHeight="1">
      <c r="AC385" s="54"/>
      <c r="AD385" s="67"/>
    </row>
    <row r="386" spans="29:30" ht="14.25" customHeight="1">
      <c r="AC386" s="54"/>
      <c r="AD386" s="67"/>
    </row>
    <row r="387" spans="29:30" ht="14.25" customHeight="1">
      <c r="AC387" s="54"/>
      <c r="AD387" s="67"/>
    </row>
    <row r="388" spans="29:30" ht="14.25" customHeight="1">
      <c r="AC388" s="54"/>
      <c r="AD388" s="67"/>
    </row>
    <row r="389" spans="29:30" ht="14.25" customHeight="1">
      <c r="AC389" s="54"/>
      <c r="AD389" s="67"/>
    </row>
    <row r="390" spans="29:30" ht="14.25" customHeight="1">
      <c r="AC390" s="54"/>
      <c r="AD390" s="67"/>
    </row>
    <row r="391" spans="29:30" ht="14.25" customHeight="1">
      <c r="AC391" s="54"/>
      <c r="AD391" s="67"/>
    </row>
    <row r="392" spans="29:30" ht="14.25" customHeight="1">
      <c r="AC392" s="54"/>
      <c r="AD392" s="67"/>
    </row>
    <row r="393" spans="29:30" ht="14.25" customHeight="1">
      <c r="AC393" s="54"/>
      <c r="AD393" s="67"/>
    </row>
    <row r="394" spans="29:30" ht="14.25" customHeight="1">
      <c r="AC394" s="54"/>
      <c r="AD394" s="67"/>
    </row>
    <row r="395" spans="29:30" ht="14.25" customHeight="1">
      <c r="AC395" s="54"/>
      <c r="AD395" s="67"/>
    </row>
    <row r="396" spans="29:30" ht="14.25" customHeight="1">
      <c r="AC396" s="54"/>
      <c r="AD396" s="67"/>
    </row>
    <row r="397" spans="29:30" ht="14.25" customHeight="1">
      <c r="AC397" s="54"/>
      <c r="AD397" s="67"/>
    </row>
    <row r="398" spans="29:30" ht="14.25" customHeight="1">
      <c r="AC398" s="54"/>
      <c r="AD398" s="67"/>
    </row>
    <row r="399" spans="29:30" ht="14.25" customHeight="1">
      <c r="AC399" s="54"/>
      <c r="AD399" s="67"/>
    </row>
    <row r="400" spans="29:30" ht="14.25" customHeight="1">
      <c r="AC400" s="54"/>
      <c r="AD400" s="67"/>
    </row>
    <row r="401" spans="29:30" ht="14.25" customHeight="1">
      <c r="AC401" s="54"/>
      <c r="AD401" s="67"/>
    </row>
    <row r="402" spans="29:30" ht="14.25" customHeight="1">
      <c r="AC402" s="54"/>
      <c r="AD402" s="67"/>
    </row>
    <row r="403" spans="29:30" ht="14.25" customHeight="1">
      <c r="AC403" s="54"/>
      <c r="AD403" s="67"/>
    </row>
    <row r="404" spans="29:30" ht="14.25" customHeight="1">
      <c r="AC404" s="54"/>
      <c r="AD404" s="67"/>
    </row>
    <row r="405" spans="29:30" ht="14.25" customHeight="1">
      <c r="AC405" s="54"/>
      <c r="AD405" s="67"/>
    </row>
    <row r="406" spans="29:30" ht="14.25" customHeight="1">
      <c r="AC406" s="54"/>
      <c r="AD406" s="67"/>
    </row>
    <row r="407" spans="29:30" ht="14.25" customHeight="1">
      <c r="AC407" s="54"/>
      <c r="AD407" s="67"/>
    </row>
    <row r="408" spans="29:30" ht="14.25" customHeight="1">
      <c r="AC408" s="54"/>
      <c r="AD408" s="67"/>
    </row>
    <row r="409" spans="29:30" ht="14.25" customHeight="1">
      <c r="AC409" s="54"/>
      <c r="AD409" s="67"/>
    </row>
    <row r="410" spans="29:30" ht="14.25" customHeight="1">
      <c r="AC410" s="54"/>
      <c r="AD410" s="67"/>
    </row>
    <row r="411" spans="29:30" ht="14.25" customHeight="1">
      <c r="AC411" s="54"/>
      <c r="AD411" s="67"/>
    </row>
    <row r="412" spans="29:30" ht="14.25" customHeight="1">
      <c r="AC412" s="54"/>
      <c r="AD412" s="67"/>
    </row>
    <row r="413" spans="29:30" ht="14.25" customHeight="1">
      <c r="AC413" s="54"/>
      <c r="AD413" s="67"/>
    </row>
    <row r="414" spans="29:30" ht="14.25" customHeight="1">
      <c r="AC414" s="54"/>
      <c r="AD414" s="67"/>
    </row>
    <row r="415" spans="29:30" ht="14.25" customHeight="1">
      <c r="AC415" s="54"/>
      <c r="AD415" s="67"/>
    </row>
    <row r="416" spans="29:30" ht="14.25" customHeight="1">
      <c r="AC416" s="54"/>
      <c r="AD416" s="67"/>
    </row>
    <row r="417" spans="29:30" ht="14.25" customHeight="1">
      <c r="AC417" s="54"/>
      <c r="AD417" s="67"/>
    </row>
    <row r="418" spans="29:30" ht="14.25" customHeight="1">
      <c r="AC418" s="54"/>
      <c r="AD418" s="67"/>
    </row>
    <row r="419" spans="29:30" ht="14.25" customHeight="1">
      <c r="AC419" s="54"/>
      <c r="AD419" s="67"/>
    </row>
    <row r="420" spans="29:30" ht="14.25" customHeight="1">
      <c r="AC420" s="54"/>
      <c r="AD420" s="67"/>
    </row>
    <row r="421" spans="29:30" ht="14.25" customHeight="1">
      <c r="AC421" s="54"/>
      <c r="AD421" s="67"/>
    </row>
    <row r="422" spans="29:30" ht="14.25" customHeight="1">
      <c r="AC422" s="54"/>
      <c r="AD422" s="67"/>
    </row>
    <row r="423" spans="29:30" ht="14.25" customHeight="1">
      <c r="AC423" s="54"/>
      <c r="AD423" s="67"/>
    </row>
    <row r="424" spans="29:30" ht="14.25" customHeight="1">
      <c r="AC424" s="54"/>
      <c r="AD424" s="67"/>
    </row>
    <row r="425" spans="29:30" ht="14.25" customHeight="1">
      <c r="AC425" s="54"/>
      <c r="AD425" s="67"/>
    </row>
    <row r="426" spans="29:30" ht="14.25" customHeight="1">
      <c r="AC426" s="54"/>
      <c r="AD426" s="67"/>
    </row>
    <row r="427" spans="29:30" ht="14.25" customHeight="1">
      <c r="AC427" s="54"/>
      <c r="AD427" s="67"/>
    </row>
    <row r="428" spans="29:30" ht="14.25" customHeight="1">
      <c r="AC428" s="54"/>
      <c r="AD428" s="67"/>
    </row>
    <row r="429" spans="29:30" ht="14.25" customHeight="1">
      <c r="AC429" s="54"/>
      <c r="AD429" s="67"/>
    </row>
    <row r="430" spans="29:30" ht="14.25" customHeight="1">
      <c r="AC430" s="54"/>
      <c r="AD430" s="67"/>
    </row>
    <row r="431" spans="29:30" ht="14.25" customHeight="1">
      <c r="AC431" s="54"/>
      <c r="AD431" s="67"/>
    </row>
    <row r="432" spans="29:30" ht="14.25" customHeight="1">
      <c r="AC432" s="54"/>
      <c r="AD432" s="67"/>
    </row>
    <row r="433" spans="29:30" ht="14.25" customHeight="1">
      <c r="AC433" s="54"/>
      <c r="AD433" s="67"/>
    </row>
    <row r="434" spans="29:30" ht="14.25" customHeight="1">
      <c r="AC434" s="54"/>
      <c r="AD434" s="67"/>
    </row>
    <row r="435" spans="29:30" ht="14.25" customHeight="1">
      <c r="AC435" s="54"/>
      <c r="AD435" s="67"/>
    </row>
    <row r="436" spans="29:30" ht="14.25" customHeight="1">
      <c r="AC436" s="54"/>
      <c r="AD436" s="67"/>
    </row>
    <row r="437" spans="29:30" ht="14.25" customHeight="1">
      <c r="AC437" s="54"/>
      <c r="AD437" s="67"/>
    </row>
    <row r="438" spans="29:30" ht="14.25" customHeight="1">
      <c r="AC438" s="54"/>
      <c r="AD438" s="67"/>
    </row>
    <row r="439" spans="29:30" ht="14.25" customHeight="1">
      <c r="AC439" s="54"/>
      <c r="AD439" s="67"/>
    </row>
    <row r="440" spans="29:30" ht="14.25" customHeight="1">
      <c r="AC440" s="54"/>
      <c r="AD440" s="67"/>
    </row>
    <row r="441" spans="29:30" ht="14.25" customHeight="1">
      <c r="AC441" s="54"/>
      <c r="AD441" s="67"/>
    </row>
    <row r="442" spans="29:30" ht="14.25" customHeight="1">
      <c r="AC442" s="54"/>
      <c r="AD442" s="67"/>
    </row>
    <row r="443" spans="29:30" ht="14.25" customHeight="1">
      <c r="AC443" s="54"/>
      <c r="AD443" s="67"/>
    </row>
    <row r="444" spans="29:30" ht="14.25" customHeight="1">
      <c r="AC444" s="54"/>
      <c r="AD444" s="67"/>
    </row>
    <row r="445" spans="29:30" ht="14.25" customHeight="1">
      <c r="AC445" s="54"/>
      <c r="AD445" s="67"/>
    </row>
    <row r="446" spans="29:30" ht="14.25" customHeight="1">
      <c r="AC446" s="54"/>
      <c r="AD446" s="67"/>
    </row>
    <row r="447" spans="29:30" ht="14.25" customHeight="1">
      <c r="AC447" s="54"/>
      <c r="AD447" s="67"/>
    </row>
    <row r="448" spans="29:30" ht="14.25" customHeight="1">
      <c r="AC448" s="54"/>
      <c r="AD448" s="67"/>
    </row>
    <row r="449" spans="29:30" ht="14.25" customHeight="1">
      <c r="AC449" s="54"/>
      <c r="AD449" s="67"/>
    </row>
    <row r="450" spans="29:30" ht="14.25" customHeight="1">
      <c r="AC450" s="54"/>
      <c r="AD450" s="67"/>
    </row>
    <row r="451" spans="29:30" ht="14.25" customHeight="1">
      <c r="AC451" s="54"/>
      <c r="AD451" s="67"/>
    </row>
    <row r="452" spans="29:30" ht="14.25" customHeight="1">
      <c r="AC452" s="54"/>
      <c r="AD452" s="67"/>
    </row>
    <row r="453" spans="29:30" ht="14.25" customHeight="1">
      <c r="AC453" s="54"/>
      <c r="AD453" s="67"/>
    </row>
    <row r="454" spans="29:30" ht="14.25" customHeight="1">
      <c r="AC454" s="54"/>
      <c r="AD454" s="67"/>
    </row>
    <row r="455" spans="29:30" ht="14.25" customHeight="1">
      <c r="AC455" s="54"/>
      <c r="AD455" s="67"/>
    </row>
    <row r="456" spans="29:30" ht="14.25" customHeight="1">
      <c r="AC456" s="54"/>
      <c r="AD456" s="67"/>
    </row>
    <row r="457" spans="29:30" ht="14.25" customHeight="1">
      <c r="AC457" s="54"/>
      <c r="AD457" s="67"/>
    </row>
    <row r="458" spans="29:30" ht="14.25" customHeight="1">
      <c r="AC458" s="54"/>
      <c r="AD458" s="67"/>
    </row>
    <row r="459" spans="29:30" ht="14.25" customHeight="1">
      <c r="AC459" s="54"/>
      <c r="AD459" s="67"/>
    </row>
    <row r="460" spans="29:30" ht="14.25" customHeight="1">
      <c r="AC460" s="54"/>
      <c r="AD460" s="67"/>
    </row>
    <row r="461" spans="29:30" ht="14.25" customHeight="1">
      <c r="AC461" s="54"/>
      <c r="AD461" s="67"/>
    </row>
    <row r="462" spans="29:30" ht="14.25" customHeight="1">
      <c r="AC462" s="54"/>
      <c r="AD462" s="67"/>
    </row>
    <row r="463" spans="29:30" ht="14.25" customHeight="1">
      <c r="AC463" s="54"/>
      <c r="AD463" s="67"/>
    </row>
    <row r="464" spans="29:30" ht="14.25" customHeight="1">
      <c r="AC464" s="54"/>
      <c r="AD464" s="67"/>
    </row>
    <row r="465" spans="29:30" ht="14.25" customHeight="1">
      <c r="AC465" s="54"/>
      <c r="AD465" s="67"/>
    </row>
    <row r="466" spans="29:30" ht="14.25" customHeight="1">
      <c r="AC466" s="54"/>
      <c r="AD466" s="67"/>
    </row>
    <row r="467" spans="29:30" ht="14.25" customHeight="1">
      <c r="AC467" s="54"/>
      <c r="AD467" s="67"/>
    </row>
    <row r="468" spans="29:30" ht="14.25" customHeight="1">
      <c r="AC468" s="54"/>
      <c r="AD468" s="67"/>
    </row>
    <row r="469" spans="29:30" ht="14.25" customHeight="1">
      <c r="AC469" s="54"/>
      <c r="AD469" s="67"/>
    </row>
    <row r="470" spans="29:30" ht="14.25" customHeight="1">
      <c r="AC470" s="54"/>
      <c r="AD470" s="67"/>
    </row>
    <row r="471" spans="29:30" ht="14.25" customHeight="1">
      <c r="AC471" s="54"/>
      <c r="AD471" s="67"/>
    </row>
    <row r="472" spans="29:30" ht="14.25" customHeight="1">
      <c r="AC472" s="54"/>
      <c r="AD472" s="67"/>
    </row>
    <row r="473" spans="29:30" ht="14.25" customHeight="1">
      <c r="AC473" s="54"/>
      <c r="AD473" s="67"/>
    </row>
    <row r="474" spans="29:30" ht="14.25" customHeight="1">
      <c r="AC474" s="54"/>
      <c r="AD474" s="67"/>
    </row>
    <row r="475" spans="29:30" ht="14.25" customHeight="1">
      <c r="AC475" s="54"/>
      <c r="AD475" s="67"/>
    </row>
    <row r="476" spans="29:30" ht="14.25" customHeight="1">
      <c r="AC476" s="54"/>
      <c r="AD476" s="67"/>
    </row>
    <row r="477" spans="29:30" ht="14.25" customHeight="1">
      <c r="AC477" s="54"/>
      <c r="AD477" s="67"/>
    </row>
    <row r="478" spans="29:30" ht="14.25" customHeight="1">
      <c r="AC478" s="54"/>
      <c r="AD478" s="67"/>
    </row>
    <row r="479" spans="29:30" ht="14.25" customHeight="1">
      <c r="AC479" s="54"/>
      <c r="AD479" s="67"/>
    </row>
    <row r="480" spans="29:30" ht="14.25" customHeight="1">
      <c r="AC480" s="54"/>
      <c r="AD480" s="67"/>
    </row>
    <row r="481" spans="29:30" ht="14.25" customHeight="1">
      <c r="AC481" s="54"/>
      <c r="AD481" s="67"/>
    </row>
    <row r="482" spans="29:30" ht="14.25" customHeight="1">
      <c r="AC482" s="54"/>
      <c r="AD482" s="67"/>
    </row>
    <row r="483" spans="29:30" ht="14.25" customHeight="1">
      <c r="AC483" s="54"/>
      <c r="AD483" s="67"/>
    </row>
    <row r="484" spans="29:30" ht="14.25" customHeight="1">
      <c r="AC484" s="54"/>
      <c r="AD484" s="67"/>
    </row>
    <row r="485" spans="29:30" ht="14.25" customHeight="1">
      <c r="AC485" s="54"/>
      <c r="AD485" s="67"/>
    </row>
    <row r="486" spans="29:30" ht="14.25" customHeight="1">
      <c r="AC486" s="54"/>
      <c r="AD486" s="67"/>
    </row>
    <row r="487" spans="29:30" ht="14.25" customHeight="1">
      <c r="AC487" s="54"/>
      <c r="AD487" s="67"/>
    </row>
    <row r="488" spans="29:30" ht="14.25" customHeight="1">
      <c r="AC488" s="54"/>
      <c r="AD488" s="67"/>
    </row>
    <row r="489" spans="29:30" ht="14.25" customHeight="1">
      <c r="AC489" s="54"/>
      <c r="AD489" s="67"/>
    </row>
    <row r="490" spans="29:30" ht="14.25" customHeight="1">
      <c r="AC490" s="54"/>
      <c r="AD490" s="67"/>
    </row>
    <row r="491" spans="29:30" ht="14.25" customHeight="1">
      <c r="AC491" s="54"/>
      <c r="AD491" s="67"/>
    </row>
    <row r="492" spans="29:30" ht="14.25" customHeight="1">
      <c r="AC492" s="54"/>
      <c r="AD492" s="67"/>
    </row>
    <row r="493" spans="29:30" ht="14.25" customHeight="1">
      <c r="AC493" s="54"/>
      <c r="AD493" s="67"/>
    </row>
    <row r="494" spans="29:30" ht="14.25" customHeight="1">
      <c r="AC494" s="54"/>
      <c r="AD494" s="67"/>
    </row>
    <row r="495" spans="29:30" ht="14.25" customHeight="1">
      <c r="AC495" s="54"/>
      <c r="AD495" s="67"/>
    </row>
    <row r="496" spans="29:30" ht="14.25" customHeight="1">
      <c r="AC496" s="54"/>
      <c r="AD496" s="67"/>
    </row>
    <row r="497" spans="29:30" ht="14.25" customHeight="1">
      <c r="AC497" s="54"/>
      <c r="AD497" s="67"/>
    </row>
    <row r="498" spans="29:30" ht="14.25" customHeight="1">
      <c r="AC498" s="54"/>
      <c r="AD498" s="67"/>
    </row>
    <row r="499" spans="29:30" ht="14.25" customHeight="1">
      <c r="AC499" s="54"/>
      <c r="AD499" s="67"/>
    </row>
    <row r="500" spans="29:30" ht="14.25" customHeight="1">
      <c r="AC500" s="54"/>
      <c r="AD500" s="67"/>
    </row>
    <row r="501" spans="29:30" ht="14.25" customHeight="1">
      <c r="AC501" s="54"/>
      <c r="AD501" s="67"/>
    </row>
    <row r="502" spans="29:30" ht="14.25" customHeight="1">
      <c r="AC502" s="54"/>
      <c r="AD502" s="67"/>
    </row>
    <row r="503" spans="29:30" ht="14.25" customHeight="1">
      <c r="AC503" s="54"/>
      <c r="AD503" s="67"/>
    </row>
    <row r="504" spans="29:30" ht="14.25" customHeight="1">
      <c r="AC504" s="54"/>
      <c r="AD504" s="67"/>
    </row>
    <row r="505" spans="29:30" ht="14.25" customHeight="1">
      <c r="AC505" s="54"/>
      <c r="AD505" s="67"/>
    </row>
    <row r="506" spans="29:30" ht="14.25" customHeight="1">
      <c r="AC506" s="54"/>
      <c r="AD506" s="67"/>
    </row>
    <row r="507" spans="29:30" ht="14.25" customHeight="1">
      <c r="AC507" s="54"/>
      <c r="AD507" s="67"/>
    </row>
    <row r="508" spans="29:30" ht="14.25" customHeight="1">
      <c r="AC508" s="54"/>
      <c r="AD508" s="67"/>
    </row>
    <row r="509" spans="29:30" ht="14.25" customHeight="1">
      <c r="AC509" s="54"/>
      <c r="AD509" s="67"/>
    </row>
    <row r="510" spans="29:30" ht="14.25" customHeight="1">
      <c r="AC510" s="54"/>
      <c r="AD510" s="67"/>
    </row>
    <row r="511" spans="29:30" ht="14.25" customHeight="1">
      <c r="AC511" s="54"/>
      <c r="AD511" s="67"/>
    </row>
    <row r="512" spans="29:30" ht="14.25" customHeight="1">
      <c r="AC512" s="54"/>
      <c r="AD512" s="67"/>
    </row>
    <row r="513" spans="29:30" ht="14.25" customHeight="1">
      <c r="AC513" s="54"/>
      <c r="AD513" s="67"/>
    </row>
    <row r="514" spans="29:30" ht="14.25" customHeight="1">
      <c r="AC514" s="54"/>
      <c r="AD514" s="67"/>
    </row>
    <row r="515" spans="29:30" ht="14.25" customHeight="1">
      <c r="AC515" s="54"/>
      <c r="AD515" s="67"/>
    </row>
    <row r="516" spans="29:30" ht="14.25" customHeight="1">
      <c r="AC516" s="54"/>
      <c r="AD516" s="67"/>
    </row>
    <row r="517" spans="29:30" ht="14.25" customHeight="1">
      <c r="AC517" s="54"/>
      <c r="AD517" s="67"/>
    </row>
    <row r="518" spans="29:30" ht="14.25" customHeight="1">
      <c r="AC518" s="54"/>
      <c r="AD518" s="67"/>
    </row>
    <row r="519" spans="29:30" ht="14.25" customHeight="1">
      <c r="AC519" s="54"/>
      <c r="AD519" s="67"/>
    </row>
    <row r="520" spans="29:30" ht="14.25" customHeight="1">
      <c r="AC520" s="54"/>
      <c r="AD520" s="67"/>
    </row>
    <row r="521" spans="29:30" ht="14.25" customHeight="1">
      <c r="AC521" s="54"/>
      <c r="AD521" s="67"/>
    </row>
    <row r="522" spans="29:30" ht="14.25" customHeight="1">
      <c r="AC522" s="54"/>
      <c r="AD522" s="67"/>
    </row>
    <row r="523" spans="29:30" ht="14.25" customHeight="1">
      <c r="AC523" s="54"/>
      <c r="AD523" s="67"/>
    </row>
    <row r="524" spans="29:30" ht="14.25" customHeight="1">
      <c r="AC524" s="54"/>
      <c r="AD524" s="67"/>
    </row>
    <row r="525" spans="29:30" ht="14.25" customHeight="1">
      <c r="AC525" s="54"/>
      <c r="AD525" s="67"/>
    </row>
    <row r="526" spans="29:30" ht="14.25" customHeight="1">
      <c r="AC526" s="54"/>
      <c r="AD526" s="67"/>
    </row>
    <row r="527" spans="29:30" ht="14.25" customHeight="1">
      <c r="AC527" s="54"/>
      <c r="AD527" s="67"/>
    </row>
    <row r="528" spans="29:30" ht="14.25" customHeight="1">
      <c r="AC528" s="54"/>
      <c r="AD528" s="67"/>
    </row>
    <row r="529" spans="29:30" ht="14.25" customHeight="1">
      <c r="AC529" s="54"/>
      <c r="AD529" s="67"/>
    </row>
    <row r="530" spans="29:30" ht="14.25" customHeight="1">
      <c r="AC530" s="54"/>
      <c r="AD530" s="67"/>
    </row>
    <row r="531" spans="29:30" ht="14.25" customHeight="1">
      <c r="AC531" s="54"/>
      <c r="AD531" s="67"/>
    </row>
    <row r="532" spans="29:30" ht="14.25" customHeight="1">
      <c r="AC532" s="54"/>
      <c r="AD532" s="67"/>
    </row>
    <row r="533" spans="29:30" ht="14.25" customHeight="1">
      <c r="AC533" s="54"/>
      <c r="AD533" s="67"/>
    </row>
    <row r="534" spans="29:30" ht="14.25" customHeight="1">
      <c r="AC534" s="54"/>
      <c r="AD534" s="67"/>
    </row>
    <row r="535" spans="29:30" ht="14.25" customHeight="1">
      <c r="AC535" s="54"/>
      <c r="AD535" s="67"/>
    </row>
    <row r="536" spans="29:30" ht="14.25" customHeight="1">
      <c r="AC536" s="54"/>
      <c r="AD536" s="67"/>
    </row>
    <row r="537" spans="29:30" ht="14.25" customHeight="1">
      <c r="AC537" s="54"/>
      <c r="AD537" s="67"/>
    </row>
    <row r="538" spans="29:30" ht="14.25" customHeight="1">
      <c r="AC538" s="54"/>
      <c r="AD538" s="67"/>
    </row>
    <row r="539" spans="29:30" ht="14.25" customHeight="1">
      <c r="AC539" s="54"/>
      <c r="AD539" s="67"/>
    </row>
    <row r="540" spans="29:30" ht="14.25" customHeight="1">
      <c r="AC540" s="54"/>
      <c r="AD540" s="67"/>
    </row>
    <row r="541" spans="29:30" ht="14.25" customHeight="1">
      <c r="AC541" s="54"/>
      <c r="AD541" s="67"/>
    </row>
    <row r="542" spans="29:30" ht="14.25" customHeight="1">
      <c r="AC542" s="54"/>
      <c r="AD542" s="67"/>
    </row>
    <row r="543" spans="29:30" ht="14.25" customHeight="1">
      <c r="AC543" s="54"/>
      <c r="AD543" s="67"/>
    </row>
    <row r="544" spans="29:30" ht="14.25" customHeight="1">
      <c r="AC544" s="54"/>
      <c r="AD544" s="67"/>
    </row>
    <row r="545" spans="29:30" ht="14.25" customHeight="1">
      <c r="AC545" s="54"/>
      <c r="AD545" s="67"/>
    </row>
    <row r="546" spans="29:30" ht="14.25" customHeight="1">
      <c r="AC546" s="54"/>
      <c r="AD546" s="67"/>
    </row>
    <row r="547" spans="29:30" ht="14.25" customHeight="1">
      <c r="AC547" s="54"/>
      <c r="AD547" s="67"/>
    </row>
    <row r="548" spans="29:30" ht="14.25" customHeight="1">
      <c r="AC548" s="54"/>
      <c r="AD548" s="67"/>
    </row>
    <row r="549" spans="29:30" ht="14.25" customHeight="1">
      <c r="AC549" s="54"/>
      <c r="AD549" s="67"/>
    </row>
    <row r="550" spans="29:30" ht="14.25" customHeight="1">
      <c r="AC550" s="54"/>
      <c r="AD550" s="67"/>
    </row>
    <row r="551" spans="29:30" ht="14.25" customHeight="1">
      <c r="AC551" s="54"/>
      <c r="AD551" s="67"/>
    </row>
    <row r="552" spans="29:30" ht="14.25" customHeight="1">
      <c r="AC552" s="54"/>
      <c r="AD552" s="67"/>
    </row>
    <row r="553" spans="29:30" ht="14.25" customHeight="1">
      <c r="AC553" s="54"/>
      <c r="AD553" s="67"/>
    </row>
    <row r="554" spans="29:30" ht="14.25" customHeight="1">
      <c r="AC554" s="54"/>
      <c r="AD554" s="67"/>
    </row>
    <row r="555" spans="29:30" ht="14.25" customHeight="1">
      <c r="AC555" s="54"/>
      <c r="AD555" s="67"/>
    </row>
    <row r="556" spans="29:30" ht="14.25" customHeight="1">
      <c r="AC556" s="54"/>
      <c r="AD556" s="67"/>
    </row>
    <row r="557" spans="29:30" ht="14.25" customHeight="1">
      <c r="AC557" s="54"/>
      <c r="AD557" s="67"/>
    </row>
    <row r="558" spans="29:30" ht="14.25" customHeight="1">
      <c r="AC558" s="54"/>
      <c r="AD558" s="67"/>
    </row>
    <row r="559" spans="29:30" ht="14.25" customHeight="1">
      <c r="AC559" s="54"/>
      <c r="AD559" s="67"/>
    </row>
    <row r="560" spans="29:30" ht="14.25" customHeight="1">
      <c r="AC560" s="54"/>
      <c r="AD560" s="67"/>
    </row>
    <row r="561" spans="29:30" ht="14.25" customHeight="1">
      <c r="AC561" s="54"/>
      <c r="AD561" s="67"/>
    </row>
    <row r="562" spans="29:30" ht="14.25" customHeight="1">
      <c r="AC562" s="54"/>
      <c r="AD562" s="67"/>
    </row>
    <row r="563" spans="29:30" ht="14.25" customHeight="1">
      <c r="AC563" s="54"/>
      <c r="AD563" s="67"/>
    </row>
    <row r="564" spans="29:30" ht="14.25" customHeight="1">
      <c r="AC564" s="54"/>
      <c r="AD564" s="67"/>
    </row>
    <row r="565" spans="29:30" ht="14.25" customHeight="1">
      <c r="AC565" s="54"/>
      <c r="AD565" s="67"/>
    </row>
    <row r="566" spans="29:30" ht="14.25" customHeight="1">
      <c r="AC566" s="54"/>
      <c r="AD566" s="67"/>
    </row>
    <row r="567" spans="29:30" ht="14.25" customHeight="1">
      <c r="AC567" s="54"/>
      <c r="AD567" s="67"/>
    </row>
    <row r="568" spans="29:30" ht="14.25" customHeight="1">
      <c r="AC568" s="54"/>
      <c r="AD568" s="67"/>
    </row>
    <row r="569" spans="29:30" ht="14.25" customHeight="1">
      <c r="AC569" s="54"/>
      <c r="AD569" s="67"/>
    </row>
    <row r="570" spans="29:30" ht="14.25" customHeight="1">
      <c r="AC570" s="54"/>
      <c r="AD570" s="67"/>
    </row>
    <row r="571" spans="29:30" ht="14.25" customHeight="1">
      <c r="AC571" s="54"/>
      <c r="AD571" s="67"/>
    </row>
    <row r="572" spans="29:30" ht="14.25" customHeight="1">
      <c r="AC572" s="54"/>
      <c r="AD572" s="67"/>
    </row>
    <row r="573" spans="29:30" ht="14.25" customHeight="1">
      <c r="AC573" s="54"/>
      <c r="AD573" s="67"/>
    </row>
    <row r="574" spans="29:30" ht="14.25" customHeight="1">
      <c r="AC574" s="54"/>
      <c r="AD574" s="67"/>
    </row>
    <row r="575" spans="29:30" ht="14.25" customHeight="1">
      <c r="AC575" s="54"/>
      <c r="AD575" s="67"/>
    </row>
    <row r="576" spans="29:30" ht="14.25" customHeight="1">
      <c r="AC576" s="54"/>
      <c r="AD576" s="67"/>
    </row>
    <row r="577" spans="29:30" ht="14.25" customHeight="1">
      <c r="AC577" s="54"/>
      <c r="AD577" s="67"/>
    </row>
    <row r="578" spans="29:30" ht="14.25" customHeight="1">
      <c r="AC578" s="54"/>
      <c r="AD578" s="67"/>
    </row>
    <row r="579" spans="29:30" ht="14.25" customHeight="1">
      <c r="AC579" s="54"/>
      <c r="AD579" s="67"/>
    </row>
    <row r="580" spans="29:30" ht="14.25" customHeight="1">
      <c r="AC580" s="54"/>
      <c r="AD580" s="67"/>
    </row>
    <row r="581" spans="29:30" ht="14.25" customHeight="1">
      <c r="AC581" s="54"/>
      <c r="AD581" s="67"/>
    </row>
    <row r="582" spans="29:30" ht="14.25" customHeight="1">
      <c r="AC582" s="54"/>
      <c r="AD582" s="67"/>
    </row>
    <row r="583" spans="29:30" ht="14.25" customHeight="1">
      <c r="AC583" s="54"/>
      <c r="AD583" s="67"/>
    </row>
    <row r="584" spans="29:30" ht="14.25" customHeight="1">
      <c r="AC584" s="54"/>
      <c r="AD584" s="67"/>
    </row>
    <row r="585" spans="29:30" ht="14.25" customHeight="1">
      <c r="AC585" s="54"/>
      <c r="AD585" s="67"/>
    </row>
    <row r="586" spans="29:30" ht="14.25" customHeight="1">
      <c r="AC586" s="54"/>
      <c r="AD586" s="67"/>
    </row>
    <row r="587" spans="29:30" ht="14.25" customHeight="1">
      <c r="AC587" s="54"/>
      <c r="AD587" s="67"/>
    </row>
    <row r="588" spans="29:30" ht="14.25" customHeight="1">
      <c r="AC588" s="54"/>
      <c r="AD588" s="67"/>
    </row>
    <row r="589" spans="29:30" ht="14.25" customHeight="1">
      <c r="AC589" s="54"/>
      <c r="AD589" s="67"/>
    </row>
    <row r="590" spans="29:30" ht="14.25" customHeight="1">
      <c r="AC590" s="54"/>
      <c r="AD590" s="67"/>
    </row>
    <row r="591" spans="29:30" ht="14.25" customHeight="1">
      <c r="AC591" s="54"/>
      <c r="AD591" s="67"/>
    </row>
    <row r="592" spans="29:30" ht="14.25" customHeight="1">
      <c r="AC592" s="54"/>
      <c r="AD592" s="67"/>
    </row>
    <row r="593" spans="29:30" ht="14.25" customHeight="1">
      <c r="AC593" s="54"/>
      <c r="AD593" s="67"/>
    </row>
    <row r="594" spans="29:30" ht="14.25" customHeight="1">
      <c r="AC594" s="54"/>
      <c r="AD594" s="67"/>
    </row>
    <row r="595" spans="29:30" ht="14.25" customHeight="1">
      <c r="AC595" s="54"/>
      <c r="AD595" s="67"/>
    </row>
    <row r="596" spans="29:30" ht="14.25" customHeight="1">
      <c r="AC596" s="54"/>
      <c r="AD596" s="67"/>
    </row>
    <row r="597" spans="29:30" ht="14.25" customHeight="1">
      <c r="AC597" s="54"/>
      <c r="AD597" s="67"/>
    </row>
    <row r="598" spans="29:30" ht="14.25" customHeight="1">
      <c r="AC598" s="54"/>
      <c r="AD598" s="67"/>
    </row>
    <row r="599" spans="29:30" ht="14.25" customHeight="1">
      <c r="AC599" s="54"/>
      <c r="AD599" s="67"/>
    </row>
    <row r="600" spans="29:30" ht="14.25" customHeight="1">
      <c r="AC600" s="54"/>
      <c r="AD600" s="67"/>
    </row>
    <row r="601" spans="29:30" ht="14.25" customHeight="1">
      <c r="AC601" s="54"/>
      <c r="AD601" s="67"/>
    </row>
    <row r="602" spans="29:30" ht="14.25" customHeight="1">
      <c r="AC602" s="54"/>
      <c r="AD602" s="67"/>
    </row>
    <row r="603" spans="29:30" ht="14.25" customHeight="1">
      <c r="AC603" s="54"/>
      <c r="AD603" s="67"/>
    </row>
    <row r="604" spans="29:30" ht="14.25" customHeight="1">
      <c r="AC604" s="54"/>
      <c r="AD604" s="67"/>
    </row>
    <row r="605" spans="29:30" ht="14.25" customHeight="1">
      <c r="AC605" s="54"/>
      <c r="AD605" s="67"/>
    </row>
    <row r="606" spans="29:30" ht="14.25" customHeight="1">
      <c r="AC606" s="54"/>
      <c r="AD606" s="67"/>
    </row>
    <row r="607" spans="29:30" ht="14.25" customHeight="1">
      <c r="AC607" s="54"/>
      <c r="AD607" s="67"/>
    </row>
    <row r="608" spans="29:30" ht="14.25" customHeight="1">
      <c r="AC608" s="54"/>
      <c r="AD608" s="67"/>
    </row>
    <row r="609" spans="29:30" ht="14.25" customHeight="1">
      <c r="AC609" s="54"/>
      <c r="AD609" s="67"/>
    </row>
    <row r="610" spans="29:30" ht="14.25" customHeight="1">
      <c r="AC610" s="54"/>
      <c r="AD610" s="67"/>
    </row>
    <row r="611" spans="29:30" ht="14.25" customHeight="1">
      <c r="AC611" s="54"/>
      <c r="AD611" s="67"/>
    </row>
    <row r="612" spans="29:30" ht="14.25" customHeight="1">
      <c r="AC612" s="54"/>
      <c r="AD612" s="67"/>
    </row>
    <row r="613" spans="29:30" ht="14.25" customHeight="1">
      <c r="AC613" s="54"/>
      <c r="AD613" s="67"/>
    </row>
    <row r="614" spans="29:30" ht="14.25" customHeight="1">
      <c r="AC614" s="54"/>
      <c r="AD614" s="67"/>
    </row>
    <row r="615" spans="29:30" ht="14.25" customHeight="1">
      <c r="AC615" s="54"/>
      <c r="AD615" s="67"/>
    </row>
    <row r="616" spans="29:30" ht="14.25" customHeight="1">
      <c r="AC616" s="54"/>
      <c r="AD616" s="67"/>
    </row>
    <row r="617" spans="29:30" ht="14.25" customHeight="1">
      <c r="AC617" s="54"/>
      <c r="AD617" s="67"/>
    </row>
    <row r="618" spans="29:30" ht="14.25" customHeight="1">
      <c r="AC618" s="54"/>
      <c r="AD618" s="67"/>
    </row>
    <row r="619" spans="29:30" ht="14.25" customHeight="1">
      <c r="AC619" s="54"/>
      <c r="AD619" s="67"/>
    </row>
    <row r="620" spans="29:30" ht="14.25" customHeight="1">
      <c r="AC620" s="54"/>
      <c r="AD620" s="67"/>
    </row>
    <row r="621" spans="29:30" ht="14.25" customHeight="1">
      <c r="AC621" s="54"/>
      <c r="AD621" s="67"/>
    </row>
    <row r="622" spans="29:30" ht="14.25" customHeight="1">
      <c r="AC622" s="54"/>
      <c r="AD622" s="67"/>
    </row>
    <row r="623" spans="29:30" ht="14.25" customHeight="1">
      <c r="AC623" s="54"/>
      <c r="AD623" s="67"/>
    </row>
    <row r="624" spans="29:30" ht="14.25" customHeight="1">
      <c r="AC624" s="54"/>
      <c r="AD624" s="67"/>
    </row>
    <row r="625" spans="29:30" ht="14.25" customHeight="1">
      <c r="AC625" s="54"/>
      <c r="AD625" s="67"/>
    </row>
    <row r="626" spans="29:30" ht="14.25" customHeight="1">
      <c r="AC626" s="54"/>
      <c r="AD626" s="67"/>
    </row>
    <row r="627" spans="29:30" ht="14.25" customHeight="1">
      <c r="AC627" s="54"/>
      <c r="AD627" s="67"/>
    </row>
    <row r="628" spans="29:30" ht="14.25" customHeight="1">
      <c r="AC628" s="54"/>
      <c r="AD628" s="67"/>
    </row>
    <row r="629" spans="29:30" ht="14.25" customHeight="1">
      <c r="AC629" s="54"/>
      <c r="AD629" s="67"/>
    </row>
    <row r="630" spans="29:30" ht="14.25" customHeight="1">
      <c r="AC630" s="54"/>
      <c r="AD630" s="67"/>
    </row>
    <row r="631" spans="29:30" ht="14.25" customHeight="1">
      <c r="AC631" s="54"/>
      <c r="AD631" s="67"/>
    </row>
    <row r="632" spans="29:30" ht="14.25" customHeight="1">
      <c r="AC632" s="54"/>
      <c r="AD632" s="67"/>
    </row>
    <row r="633" spans="29:30" ht="14.25" customHeight="1">
      <c r="AC633" s="54"/>
      <c r="AD633" s="67"/>
    </row>
    <row r="634" spans="29:30" ht="14.25" customHeight="1">
      <c r="AC634" s="54"/>
      <c r="AD634" s="67"/>
    </row>
    <row r="635" spans="29:30" ht="14.25" customHeight="1">
      <c r="AC635" s="54"/>
      <c r="AD635" s="67"/>
    </row>
    <row r="636" spans="29:30" ht="14.25" customHeight="1">
      <c r="AC636" s="54"/>
      <c r="AD636" s="67"/>
    </row>
    <row r="637" spans="29:30" ht="14.25" customHeight="1">
      <c r="AC637" s="54"/>
      <c r="AD637" s="67"/>
    </row>
    <row r="638" spans="29:30" ht="14.25" customHeight="1">
      <c r="AC638" s="54"/>
      <c r="AD638" s="67"/>
    </row>
    <row r="639" spans="29:30" ht="14.25" customHeight="1">
      <c r="AC639" s="54"/>
      <c r="AD639" s="67"/>
    </row>
    <row r="640" spans="29:30" ht="14.25" customHeight="1">
      <c r="AC640" s="54"/>
      <c r="AD640" s="67"/>
    </row>
    <row r="641" spans="29:30" ht="14.25" customHeight="1">
      <c r="AC641" s="54"/>
      <c r="AD641" s="67"/>
    </row>
    <row r="642" spans="29:30" ht="14.25" customHeight="1">
      <c r="AC642" s="54"/>
      <c r="AD642" s="67"/>
    </row>
    <row r="643" spans="29:30" ht="14.25" customHeight="1">
      <c r="AC643" s="54"/>
      <c r="AD643" s="67"/>
    </row>
    <row r="644" spans="29:30" ht="14.25" customHeight="1">
      <c r="AC644" s="54"/>
      <c r="AD644" s="67"/>
    </row>
    <row r="645" spans="29:30" ht="14.25" customHeight="1">
      <c r="AC645" s="54"/>
      <c r="AD645" s="67"/>
    </row>
    <row r="646" spans="29:30" ht="14.25" customHeight="1">
      <c r="AC646" s="54"/>
      <c r="AD646" s="67"/>
    </row>
    <row r="647" spans="29:30" ht="14.25" customHeight="1">
      <c r="AC647" s="54"/>
      <c r="AD647" s="67"/>
    </row>
    <row r="648" spans="29:30" ht="14.25" customHeight="1">
      <c r="AC648" s="54"/>
      <c r="AD648" s="67"/>
    </row>
    <row r="649" spans="29:30" ht="14.25" customHeight="1">
      <c r="AC649" s="54"/>
      <c r="AD649" s="67"/>
    </row>
    <row r="650" spans="29:30" ht="14.25" customHeight="1">
      <c r="AC650" s="54"/>
      <c r="AD650" s="67"/>
    </row>
    <row r="651" spans="29:30" ht="14.25" customHeight="1">
      <c r="AC651" s="54"/>
      <c r="AD651" s="67"/>
    </row>
    <row r="652" spans="29:30" ht="14.25" customHeight="1">
      <c r="AC652" s="54"/>
      <c r="AD652" s="67"/>
    </row>
    <row r="653" spans="29:30" ht="14.25" customHeight="1">
      <c r="AC653" s="54"/>
      <c r="AD653" s="67"/>
    </row>
    <row r="654" spans="29:30" ht="14.25" customHeight="1">
      <c r="AC654" s="54"/>
      <c r="AD654" s="67"/>
    </row>
    <row r="655" spans="29:30" ht="14.25" customHeight="1">
      <c r="AC655" s="54"/>
      <c r="AD655" s="67"/>
    </row>
    <row r="656" spans="29:30" ht="14.25" customHeight="1">
      <c r="AC656" s="54"/>
      <c r="AD656" s="67"/>
    </row>
    <row r="657" spans="29:30" ht="14.25" customHeight="1">
      <c r="AC657" s="54"/>
      <c r="AD657" s="67"/>
    </row>
    <row r="658" spans="29:30" ht="14.25" customHeight="1">
      <c r="AC658" s="54"/>
      <c r="AD658" s="67"/>
    </row>
    <row r="659" spans="29:30" ht="14.25" customHeight="1">
      <c r="AC659" s="54"/>
      <c r="AD659" s="67"/>
    </row>
    <row r="660" spans="29:30" ht="14.25" customHeight="1">
      <c r="AC660" s="54"/>
      <c r="AD660" s="67"/>
    </row>
    <row r="661" spans="29:30" ht="14.25" customHeight="1">
      <c r="AC661" s="54"/>
      <c r="AD661" s="67"/>
    </row>
    <row r="662" spans="29:30" ht="14.25" customHeight="1">
      <c r="AC662" s="54"/>
      <c r="AD662" s="67"/>
    </row>
    <row r="663" spans="29:30" ht="14.25" customHeight="1">
      <c r="AC663" s="54"/>
      <c r="AD663" s="67"/>
    </row>
    <row r="664" spans="29:30" ht="14.25" customHeight="1">
      <c r="AC664" s="54"/>
      <c r="AD664" s="67"/>
    </row>
    <row r="665" spans="29:30" ht="14.25" customHeight="1">
      <c r="AC665" s="54"/>
      <c r="AD665" s="67"/>
    </row>
    <row r="666" spans="29:30" ht="14.25" customHeight="1">
      <c r="AC666" s="54"/>
      <c r="AD666" s="67"/>
    </row>
    <row r="667" spans="29:30" ht="14.25" customHeight="1">
      <c r="AC667" s="54"/>
      <c r="AD667" s="67"/>
    </row>
    <row r="668" spans="29:30" ht="14.25" customHeight="1">
      <c r="AC668" s="54"/>
      <c r="AD668" s="67"/>
    </row>
    <row r="669" spans="29:30" ht="14.25" customHeight="1">
      <c r="AC669" s="54"/>
      <c r="AD669" s="67"/>
    </row>
    <row r="670" spans="29:30" ht="14.25" customHeight="1">
      <c r="AC670" s="54"/>
      <c r="AD670" s="67"/>
    </row>
    <row r="671" spans="29:30" ht="14.25" customHeight="1">
      <c r="AC671" s="54"/>
      <c r="AD671" s="67"/>
    </row>
    <row r="672" spans="29:30" ht="14.25" customHeight="1">
      <c r="AC672" s="54"/>
      <c r="AD672" s="67"/>
    </row>
    <row r="673" spans="29:30" ht="14.25" customHeight="1">
      <c r="AC673" s="54"/>
      <c r="AD673" s="67"/>
    </row>
    <row r="674" spans="29:30" ht="14.25" customHeight="1">
      <c r="AC674" s="54"/>
      <c r="AD674" s="67"/>
    </row>
    <row r="675" spans="29:30" ht="14.25" customHeight="1">
      <c r="AC675" s="54"/>
      <c r="AD675" s="67"/>
    </row>
    <row r="676" spans="29:30" ht="14.25" customHeight="1">
      <c r="AC676" s="54"/>
      <c r="AD676" s="67"/>
    </row>
    <row r="677" spans="29:30" ht="14.25" customHeight="1">
      <c r="AC677" s="54"/>
      <c r="AD677" s="67"/>
    </row>
    <row r="678" spans="29:30" ht="14.25" customHeight="1">
      <c r="AC678" s="54"/>
      <c r="AD678" s="67"/>
    </row>
    <row r="679" spans="29:30" ht="14.25" customHeight="1">
      <c r="AC679" s="54"/>
      <c r="AD679" s="67"/>
    </row>
    <row r="680" spans="29:30" ht="14.25" customHeight="1">
      <c r="AC680" s="54"/>
      <c r="AD680" s="67"/>
    </row>
    <row r="681" spans="29:30" ht="14.25" customHeight="1">
      <c r="AC681" s="54"/>
      <c r="AD681" s="67"/>
    </row>
    <row r="682" spans="29:30" ht="14.25" customHeight="1">
      <c r="AC682" s="54"/>
      <c r="AD682" s="67"/>
    </row>
    <row r="683" spans="29:30" ht="14.25" customHeight="1">
      <c r="AC683" s="54"/>
      <c r="AD683" s="67"/>
    </row>
    <row r="684" spans="29:30" ht="14.25" customHeight="1">
      <c r="AC684" s="54"/>
      <c r="AD684" s="67"/>
    </row>
    <row r="685" spans="29:30" ht="14.25" customHeight="1">
      <c r="AC685" s="54"/>
      <c r="AD685" s="67"/>
    </row>
    <row r="686" spans="29:30" ht="14.25" customHeight="1">
      <c r="AC686" s="54"/>
      <c r="AD686" s="67"/>
    </row>
    <row r="687" spans="29:30" ht="14.25" customHeight="1">
      <c r="AC687" s="54"/>
      <c r="AD687" s="67"/>
    </row>
    <row r="688" spans="29:30" ht="14.25" customHeight="1">
      <c r="AC688" s="54"/>
      <c r="AD688" s="67"/>
    </row>
    <row r="689" spans="29:30" ht="14.25" customHeight="1">
      <c r="AC689" s="54"/>
      <c r="AD689" s="67"/>
    </row>
    <row r="690" spans="29:30" ht="14.25" customHeight="1">
      <c r="AC690" s="54"/>
      <c r="AD690" s="67"/>
    </row>
    <row r="691" spans="29:30" ht="14.25" customHeight="1">
      <c r="AC691" s="54"/>
      <c r="AD691" s="67"/>
    </row>
    <row r="692" spans="29:30" ht="14.25" customHeight="1">
      <c r="AC692" s="54"/>
      <c r="AD692" s="67"/>
    </row>
    <row r="693" spans="29:30" ht="14.25" customHeight="1">
      <c r="AC693" s="54"/>
      <c r="AD693" s="67"/>
    </row>
    <row r="694" spans="29:30" ht="14.25" customHeight="1">
      <c r="AC694" s="54"/>
      <c r="AD694" s="67"/>
    </row>
    <row r="695" spans="29:30" ht="14.25" customHeight="1">
      <c r="AC695" s="54"/>
      <c r="AD695" s="67"/>
    </row>
    <row r="696" spans="29:30" ht="14.25" customHeight="1">
      <c r="AC696" s="54"/>
      <c r="AD696" s="67"/>
    </row>
    <row r="697" spans="29:30" ht="14.25" customHeight="1">
      <c r="AC697" s="54"/>
      <c r="AD697" s="67"/>
    </row>
    <row r="698" spans="29:30" ht="14.25" customHeight="1">
      <c r="AC698" s="54"/>
      <c r="AD698" s="67"/>
    </row>
    <row r="699" spans="29:30" ht="14.25" customHeight="1">
      <c r="AC699" s="54"/>
      <c r="AD699" s="67"/>
    </row>
    <row r="700" spans="29:30" ht="14.25" customHeight="1">
      <c r="AC700" s="54"/>
      <c r="AD700" s="67"/>
    </row>
    <row r="701" spans="29:30" ht="14.25" customHeight="1">
      <c r="AC701" s="54"/>
      <c r="AD701" s="67"/>
    </row>
    <row r="702" spans="29:30" ht="14.25" customHeight="1">
      <c r="AC702" s="54"/>
      <c r="AD702" s="67"/>
    </row>
    <row r="703" spans="29:30" ht="14.25" customHeight="1">
      <c r="AC703" s="54"/>
      <c r="AD703" s="67"/>
    </row>
    <row r="704" spans="29:30" ht="14.25" customHeight="1">
      <c r="AC704" s="54"/>
      <c r="AD704" s="67"/>
    </row>
    <row r="705" spans="29:30" ht="14.25" customHeight="1">
      <c r="AC705" s="54"/>
      <c r="AD705" s="67"/>
    </row>
    <row r="706" spans="29:30" ht="14.25" customHeight="1">
      <c r="AC706" s="54"/>
      <c r="AD706" s="67"/>
    </row>
    <row r="707" spans="29:30" ht="14.25" customHeight="1">
      <c r="AC707" s="54"/>
      <c r="AD707" s="67"/>
    </row>
    <row r="708" spans="29:30" ht="14.25" customHeight="1">
      <c r="AC708" s="54"/>
      <c r="AD708" s="67"/>
    </row>
    <row r="709" spans="29:30" ht="14.25" customHeight="1">
      <c r="AC709" s="54"/>
      <c r="AD709" s="67"/>
    </row>
    <row r="710" spans="29:30" ht="14.25" customHeight="1">
      <c r="AC710" s="54"/>
      <c r="AD710" s="67"/>
    </row>
    <row r="711" spans="29:30" ht="14.25" customHeight="1">
      <c r="AC711" s="54"/>
      <c r="AD711" s="67"/>
    </row>
    <row r="712" spans="29:30" ht="14.25" customHeight="1">
      <c r="AC712" s="54"/>
      <c r="AD712" s="67"/>
    </row>
    <row r="713" spans="29:30" ht="14.25" customHeight="1">
      <c r="AC713" s="54"/>
      <c r="AD713" s="67"/>
    </row>
    <row r="714" spans="29:30" ht="14.25" customHeight="1">
      <c r="AC714" s="54"/>
      <c r="AD714" s="67"/>
    </row>
    <row r="715" spans="29:30" ht="14.25" customHeight="1">
      <c r="AC715" s="54"/>
      <c r="AD715" s="67"/>
    </row>
    <row r="716" spans="29:30" ht="14.25" customHeight="1">
      <c r="AC716" s="54"/>
      <c r="AD716" s="67"/>
    </row>
    <row r="717" spans="29:30" ht="14.25" customHeight="1">
      <c r="AC717" s="54"/>
      <c r="AD717" s="67"/>
    </row>
    <row r="718" spans="29:30" ht="14.25" customHeight="1">
      <c r="AC718" s="54"/>
      <c r="AD718" s="67"/>
    </row>
    <row r="719" spans="29:30" ht="14.25" customHeight="1">
      <c r="AC719" s="54"/>
      <c r="AD719" s="67"/>
    </row>
    <row r="720" spans="29:30" ht="14.25" customHeight="1">
      <c r="AC720" s="54"/>
      <c r="AD720" s="67"/>
    </row>
    <row r="721" spans="29:30" ht="14.25" customHeight="1">
      <c r="AC721" s="54"/>
      <c r="AD721" s="67"/>
    </row>
    <row r="722" spans="29:30" ht="14.25" customHeight="1">
      <c r="AC722" s="54"/>
      <c r="AD722" s="67"/>
    </row>
    <row r="723" spans="29:30" ht="14.25" customHeight="1">
      <c r="AC723" s="54"/>
      <c r="AD723" s="67"/>
    </row>
    <row r="724" spans="29:30" ht="14.25" customHeight="1">
      <c r="AC724" s="54"/>
      <c r="AD724" s="67"/>
    </row>
    <row r="725" spans="29:30" ht="14.25" customHeight="1">
      <c r="AC725" s="54"/>
      <c r="AD725" s="67"/>
    </row>
    <row r="726" spans="29:30" ht="14.25" customHeight="1">
      <c r="AC726" s="54"/>
      <c r="AD726" s="67"/>
    </row>
    <row r="727" spans="29:30" ht="14.25" customHeight="1">
      <c r="AC727" s="54"/>
      <c r="AD727" s="67"/>
    </row>
    <row r="728" spans="29:30" ht="14.25" customHeight="1">
      <c r="AC728" s="54"/>
      <c r="AD728" s="67"/>
    </row>
    <row r="729" spans="29:30" ht="14.25" customHeight="1">
      <c r="AC729" s="54"/>
      <c r="AD729" s="67"/>
    </row>
    <row r="730" spans="29:30" ht="14.25" customHeight="1">
      <c r="AC730" s="54"/>
      <c r="AD730" s="67"/>
    </row>
    <row r="731" spans="29:30" ht="14.25" customHeight="1">
      <c r="AC731" s="54"/>
      <c r="AD731" s="67"/>
    </row>
    <row r="732" spans="29:30" ht="14.25" customHeight="1">
      <c r="AC732" s="54"/>
      <c r="AD732" s="67"/>
    </row>
    <row r="733" spans="29:30" ht="14.25" customHeight="1">
      <c r="AC733" s="54"/>
      <c r="AD733" s="67"/>
    </row>
    <row r="734" spans="29:30" ht="14.25" customHeight="1">
      <c r="AC734" s="54"/>
      <c r="AD734" s="67"/>
    </row>
    <row r="735" spans="29:30" ht="14.25" customHeight="1">
      <c r="AC735" s="54"/>
      <c r="AD735" s="67"/>
    </row>
    <row r="736" spans="29:30" ht="14.25" customHeight="1">
      <c r="AC736" s="54"/>
      <c r="AD736" s="67"/>
    </row>
    <row r="737" spans="29:30" ht="14.25" customHeight="1">
      <c r="AC737" s="54"/>
      <c r="AD737" s="67"/>
    </row>
    <row r="738" spans="29:30" ht="14.25" customHeight="1">
      <c r="AC738" s="54"/>
      <c r="AD738" s="67"/>
    </row>
    <row r="739" spans="29:30" ht="14.25" customHeight="1">
      <c r="AC739" s="54"/>
      <c r="AD739" s="67"/>
    </row>
    <row r="740" spans="29:30" ht="14.25" customHeight="1">
      <c r="AC740" s="54"/>
      <c r="AD740" s="67"/>
    </row>
    <row r="741" spans="29:30" ht="14.25" customHeight="1">
      <c r="AC741" s="54"/>
      <c r="AD741" s="67"/>
    </row>
    <row r="742" spans="29:30" ht="14.25" customHeight="1">
      <c r="AC742" s="54"/>
      <c r="AD742" s="67"/>
    </row>
    <row r="743" spans="29:30" ht="14.25" customHeight="1">
      <c r="AC743" s="54"/>
      <c r="AD743" s="67"/>
    </row>
    <row r="744" spans="29:30" ht="14.25" customHeight="1">
      <c r="AC744" s="54"/>
      <c r="AD744" s="67"/>
    </row>
    <row r="745" spans="29:30" ht="14.25" customHeight="1">
      <c r="AC745" s="54"/>
      <c r="AD745" s="67"/>
    </row>
    <row r="746" spans="29:30" ht="14.25" customHeight="1">
      <c r="AC746" s="54"/>
      <c r="AD746" s="67"/>
    </row>
    <row r="747" spans="29:30" ht="14.25" customHeight="1">
      <c r="AC747" s="54"/>
      <c r="AD747" s="67"/>
    </row>
    <row r="748" spans="29:30" ht="14.25" customHeight="1">
      <c r="AC748" s="54"/>
      <c r="AD748" s="67"/>
    </row>
    <row r="749" spans="29:30" ht="14.25" customHeight="1">
      <c r="AC749" s="54"/>
      <c r="AD749" s="67"/>
    </row>
    <row r="750" spans="29:30" ht="14.25" customHeight="1">
      <c r="AC750" s="54"/>
      <c r="AD750" s="67"/>
    </row>
    <row r="751" spans="29:30" ht="14.25" customHeight="1">
      <c r="AC751" s="54"/>
      <c r="AD751" s="67"/>
    </row>
    <row r="752" spans="29:30" ht="14.25" customHeight="1">
      <c r="AC752" s="54"/>
      <c r="AD752" s="67"/>
    </row>
    <row r="753" spans="29:30" ht="14.25" customHeight="1">
      <c r="AC753" s="54"/>
      <c r="AD753" s="67"/>
    </row>
    <row r="754" spans="29:30" ht="14.25" customHeight="1">
      <c r="AC754" s="54"/>
      <c r="AD754" s="67"/>
    </row>
    <row r="755" spans="29:30" ht="14.25" customHeight="1">
      <c r="AC755" s="54"/>
      <c r="AD755" s="67"/>
    </row>
    <row r="756" spans="29:30" ht="14.25" customHeight="1">
      <c r="AC756" s="54"/>
      <c r="AD756" s="67"/>
    </row>
    <row r="757" spans="29:30" ht="14.25" customHeight="1">
      <c r="AC757" s="54"/>
      <c r="AD757" s="67"/>
    </row>
    <row r="758" spans="29:30" ht="14.25" customHeight="1">
      <c r="AC758" s="54"/>
      <c r="AD758" s="67"/>
    </row>
    <row r="759" spans="29:30" ht="14.25" customHeight="1">
      <c r="AC759" s="54"/>
      <c r="AD759" s="67"/>
    </row>
    <row r="760" spans="29:30" ht="14.25" customHeight="1">
      <c r="AC760" s="54"/>
      <c r="AD760" s="67"/>
    </row>
    <row r="761" spans="29:30" ht="14.25" customHeight="1">
      <c r="AC761" s="54"/>
      <c r="AD761" s="67"/>
    </row>
    <row r="762" spans="29:30" ht="14.25" customHeight="1">
      <c r="AC762" s="54"/>
      <c r="AD762" s="67"/>
    </row>
    <row r="763" spans="29:30" ht="14.25" customHeight="1">
      <c r="AC763" s="54"/>
      <c r="AD763" s="67"/>
    </row>
    <row r="764" spans="29:30" ht="14.25" customHeight="1">
      <c r="AC764" s="54"/>
      <c r="AD764" s="67"/>
    </row>
    <row r="765" spans="29:30" ht="14.25" customHeight="1">
      <c r="AC765" s="54"/>
      <c r="AD765" s="67"/>
    </row>
    <row r="766" spans="29:30" ht="14.25" customHeight="1">
      <c r="AC766" s="54"/>
      <c r="AD766" s="67"/>
    </row>
    <row r="767" spans="29:30" ht="14.25" customHeight="1">
      <c r="AC767" s="54"/>
      <c r="AD767" s="67"/>
    </row>
    <row r="768" spans="29:30" ht="14.25" customHeight="1">
      <c r="AC768" s="54"/>
      <c r="AD768" s="67"/>
    </row>
    <row r="769" spans="29:30" ht="14.25" customHeight="1">
      <c r="AC769" s="54"/>
      <c r="AD769" s="67"/>
    </row>
    <row r="770" spans="29:30" ht="14.25" customHeight="1">
      <c r="AC770" s="54"/>
      <c r="AD770" s="67"/>
    </row>
    <row r="771" spans="29:30" ht="14.25" customHeight="1">
      <c r="AC771" s="54"/>
      <c r="AD771" s="67"/>
    </row>
    <row r="772" spans="29:30" ht="14.25" customHeight="1">
      <c r="AC772" s="54"/>
      <c r="AD772" s="67"/>
    </row>
    <row r="773" spans="29:30" ht="14.25" customHeight="1">
      <c r="AC773" s="54"/>
      <c r="AD773" s="67"/>
    </row>
    <row r="774" spans="29:30" ht="14.25" customHeight="1">
      <c r="AC774" s="54"/>
      <c r="AD774" s="67"/>
    </row>
    <row r="775" spans="29:30" ht="14.25" customHeight="1">
      <c r="AC775" s="54"/>
      <c r="AD775" s="67"/>
    </row>
    <row r="776" spans="29:30" ht="14.25" customHeight="1">
      <c r="AC776" s="54"/>
      <c r="AD776" s="67"/>
    </row>
    <row r="777" spans="29:30" ht="14.25" customHeight="1">
      <c r="AC777" s="54"/>
      <c r="AD777" s="67"/>
    </row>
    <row r="778" spans="29:30" ht="14.25" customHeight="1">
      <c r="AC778" s="54"/>
      <c r="AD778" s="67"/>
    </row>
    <row r="779" spans="29:30" ht="14.25" customHeight="1">
      <c r="AC779" s="54"/>
      <c r="AD779" s="67"/>
    </row>
    <row r="780" spans="29:30" ht="14.25" customHeight="1">
      <c r="AC780" s="54"/>
      <c r="AD780" s="67"/>
    </row>
    <row r="781" spans="29:30" ht="14.25" customHeight="1">
      <c r="AC781" s="54"/>
      <c r="AD781" s="67"/>
    </row>
    <row r="782" spans="29:30" ht="14.25" customHeight="1">
      <c r="AC782" s="54"/>
      <c r="AD782" s="67"/>
    </row>
    <row r="783" spans="29:30" ht="14.25" customHeight="1">
      <c r="AC783" s="54"/>
      <c r="AD783" s="67"/>
    </row>
    <row r="784" spans="29:30" ht="14.25" customHeight="1">
      <c r="AC784" s="54"/>
      <c r="AD784" s="67"/>
    </row>
    <row r="785" spans="29:30" ht="14.25" customHeight="1">
      <c r="AC785" s="54"/>
      <c r="AD785" s="67"/>
    </row>
    <row r="786" spans="29:30" ht="14.25" customHeight="1">
      <c r="AC786" s="54"/>
      <c r="AD786" s="67"/>
    </row>
    <row r="787" spans="29:30" ht="14.25" customHeight="1">
      <c r="AC787" s="54"/>
      <c r="AD787" s="67"/>
    </row>
    <row r="788" spans="29:30" ht="14.25" customHeight="1">
      <c r="AC788" s="54"/>
      <c r="AD788" s="67"/>
    </row>
    <row r="789" spans="29:30" ht="14.25" customHeight="1">
      <c r="AC789" s="54"/>
      <c r="AD789" s="67"/>
    </row>
    <row r="790" spans="29:30" ht="14.25" customHeight="1">
      <c r="AC790" s="54"/>
      <c r="AD790" s="67"/>
    </row>
    <row r="791" spans="29:30" ht="14.25" customHeight="1">
      <c r="AC791" s="54"/>
      <c r="AD791" s="67"/>
    </row>
    <row r="792" spans="29:30" ht="14.25" customHeight="1">
      <c r="AC792" s="54"/>
      <c r="AD792" s="67"/>
    </row>
    <row r="793" spans="29:30" ht="14.25" customHeight="1">
      <c r="AC793" s="54"/>
      <c r="AD793" s="67"/>
    </row>
    <row r="794" spans="29:30" ht="14.25" customHeight="1">
      <c r="AC794" s="54"/>
      <c r="AD794" s="67"/>
    </row>
    <row r="795" spans="29:30" ht="14.25" customHeight="1">
      <c r="AC795" s="54"/>
      <c r="AD795" s="67"/>
    </row>
    <row r="796" spans="29:30" ht="14.25" customHeight="1">
      <c r="AC796" s="54"/>
      <c r="AD796" s="67"/>
    </row>
    <row r="797" spans="29:30" ht="14.25" customHeight="1">
      <c r="AC797" s="54"/>
      <c r="AD797" s="67"/>
    </row>
    <row r="798" spans="29:30" ht="14.25" customHeight="1">
      <c r="AC798" s="54"/>
      <c r="AD798" s="67"/>
    </row>
    <row r="799" spans="29:30" ht="14.25" customHeight="1">
      <c r="AC799" s="54"/>
      <c r="AD799" s="67"/>
    </row>
    <row r="800" spans="29:30" ht="14.25" customHeight="1">
      <c r="AC800" s="54"/>
      <c r="AD800" s="67"/>
    </row>
    <row r="801" spans="29:30" ht="14.25" customHeight="1">
      <c r="AC801" s="54"/>
      <c r="AD801" s="67"/>
    </row>
    <row r="802" spans="29:30" ht="14.25" customHeight="1">
      <c r="AC802" s="54"/>
      <c r="AD802" s="67"/>
    </row>
    <row r="803" spans="29:30" ht="14.25" customHeight="1">
      <c r="AC803" s="54"/>
      <c r="AD803" s="67"/>
    </row>
    <row r="804" spans="29:30" ht="14.25" customHeight="1">
      <c r="AC804" s="54"/>
      <c r="AD804" s="67"/>
    </row>
    <row r="805" spans="29:30" ht="14.25" customHeight="1">
      <c r="AC805" s="54"/>
      <c r="AD805" s="67"/>
    </row>
    <row r="806" spans="29:30" ht="14.25" customHeight="1">
      <c r="AC806" s="54"/>
      <c r="AD806" s="67"/>
    </row>
    <row r="807" spans="29:30" ht="14.25" customHeight="1">
      <c r="AC807" s="54"/>
      <c r="AD807" s="67"/>
    </row>
    <row r="808" spans="29:30" ht="14.25" customHeight="1">
      <c r="AC808" s="54"/>
      <c r="AD808" s="67"/>
    </row>
    <row r="809" spans="29:30" ht="14.25" customHeight="1">
      <c r="AC809" s="54"/>
      <c r="AD809" s="67"/>
    </row>
    <row r="810" spans="29:30" ht="14.25" customHeight="1">
      <c r="AC810" s="54"/>
      <c r="AD810" s="67"/>
    </row>
    <row r="811" spans="29:30" ht="14.25" customHeight="1">
      <c r="AC811" s="54"/>
      <c r="AD811" s="67"/>
    </row>
    <row r="812" spans="29:30" ht="14.25" customHeight="1">
      <c r="AC812" s="54"/>
      <c r="AD812" s="67"/>
    </row>
    <row r="813" spans="29:30" ht="14.25" customHeight="1">
      <c r="AC813" s="54"/>
      <c r="AD813" s="67"/>
    </row>
    <row r="814" spans="29:30" ht="14.25" customHeight="1">
      <c r="AC814" s="54"/>
      <c r="AD814" s="67"/>
    </row>
    <row r="815" spans="29:30" ht="14.25" customHeight="1">
      <c r="AC815" s="54"/>
      <c r="AD815" s="67"/>
    </row>
    <row r="816" spans="29:30" ht="14.25" customHeight="1">
      <c r="AC816" s="54"/>
      <c r="AD816" s="67"/>
    </row>
    <row r="817" spans="29:30" ht="14.25" customHeight="1">
      <c r="AC817" s="54"/>
      <c r="AD817" s="67"/>
    </row>
    <row r="818" spans="29:30" ht="14.25" customHeight="1">
      <c r="AC818" s="54"/>
      <c r="AD818" s="67"/>
    </row>
    <row r="819" spans="29:30" ht="14.25" customHeight="1">
      <c r="AC819" s="54"/>
      <c r="AD819" s="67"/>
    </row>
    <row r="820" spans="29:30" ht="14.25" customHeight="1">
      <c r="AC820" s="54"/>
      <c r="AD820" s="67"/>
    </row>
    <row r="821" spans="29:30" ht="14.25" customHeight="1">
      <c r="AC821" s="54"/>
      <c r="AD821" s="67"/>
    </row>
    <row r="822" spans="29:30" ht="14.25" customHeight="1">
      <c r="AC822" s="54"/>
      <c r="AD822" s="67"/>
    </row>
    <row r="823" spans="29:30" ht="14.25" customHeight="1">
      <c r="AC823" s="54"/>
      <c r="AD823" s="67"/>
    </row>
    <row r="824" spans="29:30" ht="14.25" customHeight="1">
      <c r="AC824" s="54"/>
      <c r="AD824" s="67"/>
    </row>
    <row r="825" spans="29:30" ht="14.25" customHeight="1">
      <c r="AC825" s="54"/>
      <c r="AD825" s="67"/>
    </row>
    <row r="826" spans="29:30" ht="14.25" customHeight="1">
      <c r="AC826" s="54"/>
      <c r="AD826" s="67"/>
    </row>
    <row r="827" spans="29:30" ht="14.25" customHeight="1">
      <c r="AC827" s="54"/>
      <c r="AD827" s="67"/>
    </row>
    <row r="828" spans="29:30" ht="14.25" customHeight="1">
      <c r="AC828" s="54"/>
      <c r="AD828" s="67"/>
    </row>
    <row r="829" spans="29:30" ht="14.25" customHeight="1">
      <c r="AC829" s="54"/>
      <c r="AD829" s="67"/>
    </row>
    <row r="830" spans="29:30" ht="14.25" customHeight="1">
      <c r="AC830" s="54"/>
      <c r="AD830" s="67"/>
    </row>
    <row r="831" spans="29:30" ht="14.25" customHeight="1">
      <c r="AC831" s="54"/>
      <c r="AD831" s="67"/>
    </row>
    <row r="832" spans="29:30" ht="14.25" customHeight="1">
      <c r="AC832" s="54"/>
      <c r="AD832" s="67"/>
    </row>
    <row r="833" spans="29:30" ht="14.25" customHeight="1">
      <c r="AC833" s="54"/>
      <c r="AD833" s="67"/>
    </row>
    <row r="834" spans="29:30" ht="14.25" customHeight="1">
      <c r="AC834" s="54"/>
      <c r="AD834" s="67"/>
    </row>
    <row r="835" spans="29:30" ht="14.25" customHeight="1">
      <c r="AC835" s="54"/>
      <c r="AD835" s="67"/>
    </row>
    <row r="836" spans="29:30" ht="14.25" customHeight="1">
      <c r="AC836" s="54"/>
      <c r="AD836" s="67"/>
    </row>
    <row r="837" spans="29:30" ht="14.25" customHeight="1">
      <c r="AC837" s="54"/>
      <c r="AD837" s="67"/>
    </row>
    <row r="838" spans="29:30" ht="14.25" customHeight="1">
      <c r="AC838" s="54"/>
      <c r="AD838" s="67"/>
    </row>
    <row r="839" spans="29:30" ht="14.25" customHeight="1">
      <c r="AC839" s="54"/>
      <c r="AD839" s="67"/>
    </row>
    <row r="840" spans="29:30" ht="14.25" customHeight="1">
      <c r="AC840" s="54"/>
      <c r="AD840" s="67"/>
    </row>
    <row r="841" spans="29:30" ht="14.25" customHeight="1">
      <c r="AC841" s="54"/>
      <c r="AD841" s="67"/>
    </row>
    <row r="842" spans="29:30" ht="14.25" customHeight="1">
      <c r="AC842" s="54"/>
      <c r="AD842" s="67"/>
    </row>
    <row r="843" spans="29:30" ht="14.25" customHeight="1">
      <c r="AC843" s="54"/>
      <c r="AD843" s="67"/>
    </row>
    <row r="844" spans="29:30" ht="14.25" customHeight="1">
      <c r="AC844" s="54"/>
      <c r="AD844" s="67"/>
    </row>
    <row r="845" spans="29:30" ht="14.25" customHeight="1">
      <c r="AC845" s="54"/>
      <c r="AD845" s="67"/>
    </row>
    <row r="846" spans="29:30" ht="14.25" customHeight="1">
      <c r="AC846" s="54"/>
      <c r="AD846" s="67"/>
    </row>
    <row r="847" spans="29:30" ht="14.25" customHeight="1">
      <c r="AC847" s="54"/>
      <c r="AD847" s="67"/>
    </row>
    <row r="848" spans="29:30" ht="14.25" customHeight="1">
      <c r="AC848" s="54"/>
      <c r="AD848" s="67"/>
    </row>
    <row r="849" spans="29:30" ht="14.25" customHeight="1">
      <c r="AC849" s="54"/>
      <c r="AD849" s="67"/>
    </row>
    <row r="850" spans="29:30" ht="14.25" customHeight="1">
      <c r="AC850" s="54"/>
      <c r="AD850" s="67"/>
    </row>
    <row r="851" spans="29:30" ht="14.25" customHeight="1">
      <c r="AC851" s="54"/>
      <c r="AD851" s="67"/>
    </row>
    <row r="852" spans="29:30" ht="14.25" customHeight="1">
      <c r="AC852" s="54"/>
      <c r="AD852" s="67"/>
    </row>
    <row r="853" spans="29:30" ht="14.25" customHeight="1">
      <c r="AC853" s="54"/>
      <c r="AD853" s="67"/>
    </row>
    <row r="854" spans="29:30" ht="14.25" customHeight="1">
      <c r="AC854" s="54"/>
      <c r="AD854" s="67"/>
    </row>
    <row r="855" spans="29:30" ht="14.25" customHeight="1">
      <c r="AC855" s="54"/>
      <c r="AD855" s="67"/>
    </row>
    <row r="856" spans="29:30" ht="14.25" customHeight="1">
      <c r="AC856" s="54"/>
      <c r="AD856" s="67"/>
    </row>
    <row r="857" spans="29:30" ht="14.25" customHeight="1">
      <c r="AC857" s="54"/>
      <c r="AD857" s="67"/>
    </row>
    <row r="858" spans="29:30" ht="14.25" customHeight="1">
      <c r="AC858" s="54"/>
      <c r="AD858" s="67"/>
    </row>
    <row r="859" spans="29:30" ht="14.25" customHeight="1">
      <c r="AC859" s="54"/>
      <c r="AD859" s="67"/>
    </row>
    <row r="860" spans="29:30" ht="14.25" customHeight="1">
      <c r="AC860" s="54"/>
      <c r="AD860" s="67"/>
    </row>
    <row r="861" spans="29:30" ht="14.25" customHeight="1">
      <c r="AC861" s="54"/>
      <c r="AD861" s="67"/>
    </row>
    <row r="862" spans="29:30" ht="14.25" customHeight="1">
      <c r="AC862" s="54"/>
      <c r="AD862" s="67"/>
    </row>
    <row r="863" spans="29:30" ht="14.25" customHeight="1">
      <c r="AC863" s="54"/>
      <c r="AD863" s="67"/>
    </row>
    <row r="864" spans="29:30" ht="14.25" customHeight="1">
      <c r="AC864" s="54"/>
      <c r="AD864" s="67"/>
    </row>
    <row r="865" spans="29:30" ht="14.25" customHeight="1">
      <c r="AC865" s="54"/>
      <c r="AD865" s="67"/>
    </row>
    <row r="866" spans="29:30" ht="14.25" customHeight="1">
      <c r="AC866" s="54"/>
      <c r="AD866" s="67"/>
    </row>
    <row r="867" spans="29:30" ht="14.25" customHeight="1">
      <c r="AC867" s="54"/>
      <c r="AD867" s="67"/>
    </row>
    <row r="868" spans="29:30" ht="14.25" customHeight="1">
      <c r="AC868" s="54"/>
      <c r="AD868" s="67"/>
    </row>
    <row r="869" spans="29:30" ht="14.25" customHeight="1">
      <c r="AC869" s="54"/>
      <c r="AD869" s="67"/>
    </row>
    <row r="870" spans="29:30" ht="14.25" customHeight="1">
      <c r="AC870" s="54"/>
      <c r="AD870" s="67"/>
    </row>
    <row r="871" spans="29:30" ht="14.25" customHeight="1">
      <c r="AC871" s="54"/>
      <c r="AD871" s="67"/>
    </row>
    <row r="872" spans="29:30" ht="14.25" customHeight="1">
      <c r="AC872" s="54"/>
      <c r="AD872" s="67"/>
    </row>
    <row r="873" spans="29:30" ht="14.25" customHeight="1">
      <c r="AC873" s="54"/>
      <c r="AD873" s="67"/>
    </row>
    <row r="874" spans="29:30" ht="14.25" customHeight="1">
      <c r="AC874" s="54"/>
      <c r="AD874" s="67"/>
    </row>
    <row r="875" spans="29:30" ht="14.25" customHeight="1">
      <c r="AC875" s="54"/>
      <c r="AD875" s="67"/>
    </row>
    <row r="876" spans="29:30" ht="14.25" customHeight="1">
      <c r="AC876" s="54"/>
      <c r="AD876" s="67"/>
    </row>
    <row r="877" spans="29:30" ht="14.25" customHeight="1">
      <c r="AC877" s="54"/>
      <c r="AD877" s="67"/>
    </row>
    <row r="878" spans="29:30" ht="14.25" customHeight="1">
      <c r="AC878" s="54"/>
      <c r="AD878" s="67"/>
    </row>
    <row r="879" spans="29:30" ht="14.25" customHeight="1">
      <c r="AC879" s="54"/>
      <c r="AD879" s="67"/>
    </row>
    <row r="880" spans="29:30" ht="14.25" customHeight="1">
      <c r="AC880" s="54"/>
      <c r="AD880" s="67"/>
    </row>
    <row r="881" spans="29:30" ht="14.25" customHeight="1">
      <c r="AC881" s="54"/>
      <c r="AD881" s="67"/>
    </row>
    <row r="882" spans="29:30" ht="14.25" customHeight="1">
      <c r="AC882" s="54"/>
      <c r="AD882" s="67"/>
    </row>
    <row r="883" spans="29:30" ht="14.25" customHeight="1">
      <c r="AC883" s="54"/>
      <c r="AD883" s="67"/>
    </row>
    <row r="884" spans="29:30" ht="14.25" customHeight="1">
      <c r="AC884" s="54"/>
      <c r="AD884" s="67"/>
    </row>
    <row r="885" spans="29:30" ht="14.25" customHeight="1">
      <c r="AC885" s="54"/>
      <c r="AD885" s="67"/>
    </row>
    <row r="886" spans="29:30" ht="14.25" customHeight="1">
      <c r="AC886" s="54"/>
      <c r="AD886" s="67"/>
    </row>
    <row r="887" spans="29:30" ht="14.25" customHeight="1">
      <c r="AC887" s="54"/>
      <c r="AD887" s="67"/>
    </row>
    <row r="888" spans="29:30" ht="14.25" customHeight="1">
      <c r="AC888" s="54"/>
      <c r="AD888" s="67"/>
    </row>
    <row r="889" spans="29:30" ht="14.25" customHeight="1">
      <c r="AC889" s="54"/>
      <c r="AD889" s="67"/>
    </row>
    <row r="890" spans="29:30" ht="14.25" customHeight="1">
      <c r="AC890" s="54"/>
      <c r="AD890" s="67"/>
    </row>
    <row r="891" spans="29:30" ht="14.25" customHeight="1">
      <c r="AC891" s="54"/>
      <c r="AD891" s="67"/>
    </row>
    <row r="892" spans="29:30" ht="14.25" customHeight="1">
      <c r="AC892" s="54"/>
      <c r="AD892" s="67"/>
    </row>
    <row r="893" spans="29:30" ht="14.25" customHeight="1">
      <c r="AC893" s="54"/>
      <c r="AD893" s="67"/>
    </row>
    <row r="894" spans="29:30" ht="14.25" customHeight="1">
      <c r="AC894" s="54"/>
      <c r="AD894" s="67"/>
    </row>
    <row r="895" spans="29:30" ht="14.25" customHeight="1">
      <c r="AC895" s="54"/>
      <c r="AD895" s="67"/>
    </row>
    <row r="896" spans="29:30" ht="14.25" customHeight="1">
      <c r="AC896" s="54"/>
      <c r="AD896" s="67"/>
    </row>
    <row r="897" spans="29:30" ht="14.25" customHeight="1">
      <c r="AC897" s="54"/>
      <c r="AD897" s="67"/>
    </row>
    <row r="898" spans="29:30" ht="14.25" customHeight="1">
      <c r="AC898" s="54"/>
      <c r="AD898" s="67"/>
    </row>
    <row r="899" spans="29:30" ht="14.25" customHeight="1">
      <c r="AC899" s="54"/>
      <c r="AD899" s="67"/>
    </row>
    <row r="900" spans="29:30" ht="14.25" customHeight="1">
      <c r="AC900" s="54"/>
      <c r="AD900" s="67"/>
    </row>
    <row r="901" spans="29:30" ht="14.25" customHeight="1">
      <c r="AC901" s="54"/>
      <c r="AD901" s="67"/>
    </row>
    <row r="902" spans="29:30" ht="14.25" customHeight="1">
      <c r="AC902" s="54"/>
      <c r="AD902" s="67"/>
    </row>
    <row r="903" spans="29:30" ht="14.25" customHeight="1">
      <c r="AC903" s="54"/>
      <c r="AD903" s="67"/>
    </row>
    <row r="904" spans="29:30" ht="14.25" customHeight="1">
      <c r="AC904" s="54"/>
      <c r="AD904" s="67"/>
    </row>
    <row r="905" spans="29:30" ht="14.25" customHeight="1">
      <c r="AC905" s="54"/>
      <c r="AD905" s="67"/>
    </row>
    <row r="906" spans="29:30" ht="14.25" customHeight="1">
      <c r="AC906" s="54"/>
      <c r="AD906" s="67"/>
    </row>
    <row r="907" spans="29:30" ht="14.25" customHeight="1">
      <c r="AC907" s="54"/>
      <c r="AD907" s="67"/>
    </row>
    <row r="908" spans="29:30" ht="14.25" customHeight="1">
      <c r="AC908" s="54"/>
      <c r="AD908" s="67"/>
    </row>
    <row r="909" spans="29:30" ht="14.25" customHeight="1">
      <c r="AC909" s="54"/>
      <c r="AD909" s="67"/>
    </row>
    <row r="910" spans="29:30" ht="14.25" customHeight="1">
      <c r="AC910" s="54"/>
      <c r="AD910" s="67"/>
    </row>
    <row r="911" spans="29:30" ht="14.25" customHeight="1">
      <c r="AC911" s="54"/>
      <c r="AD911" s="67"/>
    </row>
    <row r="912" spans="29:30" ht="14.25" customHeight="1">
      <c r="AC912" s="54"/>
      <c r="AD912" s="67"/>
    </row>
    <row r="913" spans="29:30" ht="14.25" customHeight="1">
      <c r="AC913" s="54"/>
      <c r="AD913" s="67"/>
    </row>
    <row r="914" spans="29:30" ht="14.25" customHeight="1">
      <c r="AC914" s="54"/>
      <c r="AD914" s="67"/>
    </row>
    <row r="915" spans="29:30" ht="14.25" customHeight="1">
      <c r="AC915" s="54"/>
      <c r="AD915" s="67"/>
    </row>
    <row r="916" spans="29:30" ht="14.25" customHeight="1">
      <c r="AC916" s="54"/>
      <c r="AD916" s="67"/>
    </row>
    <row r="917" spans="29:30" ht="14.25" customHeight="1">
      <c r="AC917" s="54"/>
      <c r="AD917" s="67"/>
    </row>
    <row r="918" spans="29:30" ht="14.25" customHeight="1">
      <c r="AC918" s="54"/>
      <c r="AD918" s="67"/>
    </row>
    <row r="919" spans="29:30" ht="14.25" customHeight="1">
      <c r="AC919" s="54"/>
      <c r="AD919" s="67"/>
    </row>
    <row r="920" spans="29:30" ht="14.25" customHeight="1">
      <c r="AC920" s="54"/>
      <c r="AD920" s="67"/>
    </row>
    <row r="921" spans="29:30" ht="14.25" customHeight="1">
      <c r="AC921" s="54"/>
      <c r="AD921" s="67"/>
    </row>
    <row r="922" spans="29:30" ht="14.25" customHeight="1">
      <c r="AC922" s="54"/>
      <c r="AD922" s="67"/>
    </row>
    <row r="923" spans="29:30" ht="14.25" customHeight="1">
      <c r="AC923" s="54"/>
      <c r="AD923" s="67"/>
    </row>
    <row r="924" spans="29:30" ht="14.25" customHeight="1">
      <c r="AC924" s="54"/>
      <c r="AD924" s="67"/>
    </row>
    <row r="925" spans="29:30" ht="14.25" customHeight="1">
      <c r="AC925" s="54"/>
      <c r="AD925" s="67"/>
    </row>
    <row r="926" spans="29:30" ht="14.25" customHeight="1">
      <c r="AC926" s="54"/>
      <c r="AD926" s="67"/>
    </row>
    <row r="927" spans="29:30" ht="14.25" customHeight="1">
      <c r="AC927" s="54"/>
      <c r="AD927" s="67"/>
    </row>
    <row r="928" spans="29:30" ht="14.25" customHeight="1">
      <c r="AC928" s="54"/>
      <c r="AD928" s="67"/>
    </row>
    <row r="929" spans="29:30" ht="14.25" customHeight="1">
      <c r="AC929" s="54"/>
      <c r="AD929" s="67"/>
    </row>
    <row r="930" spans="29:30" ht="14.25" customHeight="1">
      <c r="AC930" s="54"/>
      <c r="AD930" s="67"/>
    </row>
    <row r="931" spans="29:30" ht="14.25" customHeight="1">
      <c r="AC931" s="54"/>
      <c r="AD931" s="67"/>
    </row>
    <row r="932" spans="29:30" ht="14.25" customHeight="1">
      <c r="AC932" s="54"/>
      <c r="AD932" s="67"/>
    </row>
    <row r="933" spans="29:30" ht="14.25" customHeight="1">
      <c r="AC933" s="54"/>
      <c r="AD933" s="67"/>
    </row>
    <row r="934" spans="29:30" ht="14.25" customHeight="1">
      <c r="AC934" s="54"/>
      <c r="AD934" s="67"/>
    </row>
    <row r="935" spans="29:30" ht="14.25" customHeight="1">
      <c r="AC935" s="54"/>
      <c r="AD935" s="67"/>
    </row>
    <row r="936" spans="29:30" ht="14.25" customHeight="1">
      <c r="AC936" s="54"/>
      <c r="AD936" s="67"/>
    </row>
    <row r="937" spans="29:30" ht="14.25" customHeight="1">
      <c r="AC937" s="54"/>
      <c r="AD937" s="67"/>
    </row>
    <row r="938" spans="29:30" ht="14.25" customHeight="1">
      <c r="AC938" s="54"/>
      <c r="AD938" s="67"/>
    </row>
    <row r="939" spans="29:30" ht="14.25" customHeight="1">
      <c r="AC939" s="54"/>
      <c r="AD939" s="67"/>
    </row>
    <row r="940" spans="29:30" ht="14.25" customHeight="1">
      <c r="AC940" s="54"/>
      <c r="AD940" s="67"/>
    </row>
    <row r="941" spans="29:30" ht="14.25" customHeight="1">
      <c r="AC941" s="54"/>
      <c r="AD941" s="67"/>
    </row>
    <row r="942" spans="29:30" ht="14.25" customHeight="1">
      <c r="AC942" s="54"/>
      <c r="AD942" s="67"/>
    </row>
    <row r="943" spans="29:30" ht="14.25" customHeight="1">
      <c r="AC943" s="54"/>
      <c r="AD943" s="67"/>
    </row>
    <row r="944" spans="29:30" ht="14.25" customHeight="1">
      <c r="AC944" s="54"/>
      <c r="AD944" s="67"/>
    </row>
    <row r="945" spans="29:30" ht="14.25" customHeight="1">
      <c r="AC945" s="54"/>
      <c r="AD945" s="67"/>
    </row>
    <row r="946" spans="29:30" ht="14.25" customHeight="1">
      <c r="AC946" s="54"/>
      <c r="AD946" s="67"/>
    </row>
    <row r="947" spans="29:30" ht="14.25" customHeight="1">
      <c r="AC947" s="54"/>
      <c r="AD947" s="67"/>
    </row>
    <row r="948" spans="29:30" ht="14.25" customHeight="1">
      <c r="AC948" s="54"/>
      <c r="AD948" s="67"/>
    </row>
    <row r="949" spans="29:30" ht="14.25" customHeight="1">
      <c r="AC949" s="54"/>
      <c r="AD949" s="67"/>
    </row>
    <row r="950" spans="29:30" ht="14.25" customHeight="1">
      <c r="AC950" s="54"/>
      <c r="AD950" s="67"/>
    </row>
    <row r="951" spans="29:30" ht="14.25" customHeight="1">
      <c r="AC951" s="54"/>
      <c r="AD951" s="67"/>
    </row>
    <row r="952" spans="29:30" ht="14.25" customHeight="1">
      <c r="AC952" s="54"/>
      <c r="AD952" s="67"/>
    </row>
    <row r="953" spans="29:30" ht="14.25" customHeight="1">
      <c r="AC953" s="54"/>
      <c r="AD953" s="67"/>
    </row>
    <row r="954" spans="29:30" ht="14.25" customHeight="1">
      <c r="AC954" s="54"/>
      <c r="AD954" s="67"/>
    </row>
    <row r="955" spans="29:30" ht="14.25" customHeight="1">
      <c r="AC955" s="54"/>
      <c r="AD955" s="67"/>
    </row>
  </sheetData>
  <mergeCells count="37">
    <mergeCell ref="Y7:Z7"/>
    <mergeCell ref="AD7:AF7"/>
    <mergeCell ref="AG7:AG9"/>
    <mergeCell ref="AH7:AH9"/>
    <mergeCell ref="Q8:R8"/>
    <mergeCell ref="AB8:AB9"/>
    <mergeCell ref="AE8:AE9"/>
    <mergeCell ref="Y8:Y9"/>
    <mergeCell ref="Z8:Z9"/>
    <mergeCell ref="AA8:AA9"/>
    <mergeCell ref="AC7:AC9"/>
    <mergeCell ref="AD8:AD9"/>
    <mergeCell ref="S8:T8"/>
    <mergeCell ref="U8:U9"/>
    <mergeCell ref="V8:V9"/>
    <mergeCell ref="W8:W9"/>
    <mergeCell ref="T6:V6"/>
    <mergeCell ref="P7:P9"/>
    <mergeCell ref="E8:E9"/>
    <mergeCell ref="F8:F9"/>
    <mergeCell ref="G8:G9"/>
    <mergeCell ref="H8:H9"/>
    <mergeCell ref="I8:I9"/>
    <mergeCell ref="J8:J9"/>
    <mergeCell ref="M7:M9"/>
    <mergeCell ref="N7:N9"/>
    <mergeCell ref="O7:O9"/>
    <mergeCell ref="Q7:X7"/>
    <mergeCell ref="X8:X9"/>
    <mergeCell ref="A7:A9"/>
    <mergeCell ref="B7:B9"/>
    <mergeCell ref="L8:L9"/>
    <mergeCell ref="B1:D1"/>
    <mergeCell ref="B3:D3"/>
    <mergeCell ref="D5:I5"/>
    <mergeCell ref="C7:C9"/>
    <mergeCell ref="D7:D9"/>
  </mergeCells>
  <dataValidations disablePrompts="1" count="1">
    <dataValidation type="list" allowBlank="1" showErrorMessage="1" sqref="AF15 AF10 AF12:AF13 AF18:AF19" xr:uid="{00000000-0002-0000-0D00-000001000000}">
      <formula1>"Own,Other"</formula1>
    </dataValidation>
  </dataValidation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0832-A3B4-4D1B-8D20-D557EAA958D7}">
  <sheetPr>
    <tabColor rgb="FF002060"/>
  </sheetPr>
  <dimension ref="A1:AK1004"/>
  <sheetViews>
    <sheetView topLeftCell="A6" zoomScale="92" zoomScaleNormal="96" workbookViewId="0">
      <selection activeCell="W31" sqref="W31"/>
    </sheetView>
  </sheetViews>
  <sheetFormatPr defaultColWidth="14.44140625" defaultRowHeight="15" customHeight="1"/>
  <cols>
    <col min="1" max="1" width="4.109375" style="376" customWidth="1"/>
    <col min="2" max="2" width="8.88671875" style="376" customWidth="1"/>
    <col min="3" max="3" width="5.6640625" style="376" customWidth="1"/>
    <col min="4" max="4" width="8.5546875" style="376" customWidth="1"/>
    <col min="5" max="5" width="5.109375" style="376" bestFit="1" customWidth="1"/>
    <col min="6" max="6" width="6.109375" style="376" customWidth="1"/>
    <col min="7" max="7" width="5.109375" style="376" customWidth="1"/>
    <col min="8" max="9" width="4.33203125" style="376" customWidth="1"/>
    <col min="10" max="11" width="3.5546875" style="376" customWidth="1"/>
    <col min="12" max="12" width="3.109375" style="376" customWidth="1"/>
    <col min="13" max="13" width="4.5546875" style="376" customWidth="1"/>
    <col min="14" max="14" width="6.33203125" style="376" customWidth="1"/>
    <col min="15" max="15" width="5.6640625" style="376" customWidth="1"/>
    <col min="16" max="16" width="6" style="376" customWidth="1"/>
    <col min="17" max="17" width="7.5546875" style="376" customWidth="1"/>
    <col min="18" max="18" width="5.5546875" style="376" customWidth="1"/>
    <col min="19" max="19" width="7.109375" style="376" customWidth="1"/>
    <col min="20" max="20" width="14.6640625" style="376" bestFit="1" customWidth="1"/>
    <col min="21" max="21" width="9.21875" style="376" bestFit="1" customWidth="1"/>
    <col min="22" max="22" width="7" style="376" customWidth="1"/>
    <col min="23" max="23" width="4.6640625" style="376" customWidth="1"/>
    <col min="24" max="24" width="6" style="376" bestFit="1" customWidth="1"/>
    <col min="25" max="25" width="2.6640625" style="376" bestFit="1" customWidth="1"/>
    <col min="26" max="26" width="6.5546875" style="376" bestFit="1" customWidth="1"/>
    <col min="27" max="27" width="9.21875" style="376" bestFit="1" customWidth="1"/>
    <col min="28" max="28" width="7.33203125" style="376" customWidth="1"/>
    <col min="29" max="29" width="8.5546875" style="376" customWidth="1"/>
    <col min="30" max="30" width="7.109375" style="376" bestFit="1" customWidth="1"/>
    <col min="31" max="31" width="4.5546875" style="376" bestFit="1" customWidth="1"/>
    <col min="32" max="32" width="11.5546875" style="376" customWidth="1"/>
    <col min="33" max="33" width="13.33203125" style="376" customWidth="1"/>
    <col min="34" max="34" width="8.6640625" style="376" customWidth="1"/>
    <col min="35" max="35" width="11.88671875" style="376" bestFit="1" customWidth="1"/>
    <col min="36" max="37" width="8.6640625" style="376" customWidth="1"/>
    <col min="38" max="16384" width="14.44140625" style="376"/>
  </cols>
  <sheetData>
    <row r="1" spans="1:37" ht="18.75" customHeight="1">
      <c r="A1" s="375"/>
      <c r="B1" s="375" t="s">
        <v>0</v>
      </c>
    </row>
    <row r="2" spans="1:37" ht="14.25" customHeight="1"/>
    <row r="3" spans="1:37" ht="15.75" customHeight="1">
      <c r="B3" s="377" t="s">
        <v>1</v>
      </c>
      <c r="C3" s="377"/>
      <c r="D3" s="378" t="s">
        <v>139</v>
      </c>
    </row>
    <row r="4" spans="1:37" ht="14.25" customHeight="1">
      <c r="B4" s="377" t="s">
        <v>3</v>
      </c>
      <c r="C4" s="377"/>
      <c r="D4" s="379" t="s">
        <v>196</v>
      </c>
      <c r="F4" s="376">
        <v>31</v>
      </c>
    </row>
    <row r="5" spans="1:37" ht="15" customHeight="1">
      <c r="B5" s="377" t="s">
        <v>4</v>
      </c>
      <c r="C5" s="377"/>
      <c r="D5" s="380" t="s">
        <v>5</v>
      </c>
    </row>
    <row r="6" spans="1:37" ht="15" customHeight="1" thickBot="1">
      <c r="K6" s="381"/>
    </row>
    <row r="7" spans="1:37" ht="15" customHeight="1">
      <c r="A7" s="756" t="s">
        <v>54</v>
      </c>
      <c r="B7" s="756" t="s">
        <v>8</v>
      </c>
      <c r="C7" s="758" t="s">
        <v>9</v>
      </c>
      <c r="D7" s="758" t="s">
        <v>10</v>
      </c>
      <c r="E7" s="382"/>
      <c r="F7" s="382"/>
      <c r="G7" s="383" t="s">
        <v>13</v>
      </c>
      <c r="H7" s="384"/>
      <c r="I7" s="384"/>
      <c r="J7" s="384"/>
      <c r="K7" s="385"/>
      <c r="L7" s="528"/>
      <c r="M7" s="528"/>
      <c r="N7" s="529"/>
      <c r="O7" s="386"/>
      <c r="P7" s="759" t="s">
        <v>55</v>
      </c>
      <c r="Q7" s="759" t="s">
        <v>15</v>
      </c>
      <c r="R7" s="759" t="s">
        <v>16</v>
      </c>
      <c r="S7" s="759" t="s">
        <v>56</v>
      </c>
      <c r="T7" s="761" t="s">
        <v>19</v>
      </c>
      <c r="U7" s="762"/>
      <c r="V7" s="762"/>
      <c r="W7" s="762"/>
      <c r="X7" s="762"/>
      <c r="Y7" s="762"/>
      <c r="Z7" s="762"/>
      <c r="AA7" s="763"/>
      <c r="AB7" s="775" t="s">
        <v>20</v>
      </c>
      <c r="AC7" s="763"/>
      <c r="AD7" s="776" t="s">
        <v>21</v>
      </c>
      <c r="AE7" s="777"/>
      <c r="AF7" s="759" t="s">
        <v>22</v>
      </c>
      <c r="AG7" s="778" t="s">
        <v>23</v>
      </c>
      <c r="AH7" s="762"/>
      <c r="AI7" s="763"/>
      <c r="AJ7" s="779" t="s">
        <v>43</v>
      </c>
      <c r="AK7" s="770" t="s">
        <v>24</v>
      </c>
    </row>
    <row r="8" spans="1:37" ht="14.25" customHeight="1">
      <c r="A8" s="757"/>
      <c r="B8" s="757"/>
      <c r="C8" s="757"/>
      <c r="D8" s="757"/>
      <c r="E8" s="387" t="s">
        <v>11</v>
      </c>
      <c r="F8" s="387" t="s">
        <v>12</v>
      </c>
      <c r="G8" s="382" t="s">
        <v>25</v>
      </c>
      <c r="H8" s="382" t="s">
        <v>26</v>
      </c>
      <c r="I8" s="382" t="s">
        <v>27</v>
      </c>
      <c r="J8" s="382" t="s">
        <v>28</v>
      </c>
      <c r="K8" s="382" t="s">
        <v>130</v>
      </c>
      <c r="L8" s="382" t="s">
        <v>134</v>
      </c>
      <c r="M8" s="382" t="s">
        <v>135</v>
      </c>
      <c r="N8" s="382" t="s">
        <v>134</v>
      </c>
      <c r="O8" s="388" t="s">
        <v>30</v>
      </c>
      <c r="P8" s="760"/>
      <c r="Q8" s="760"/>
      <c r="R8" s="760"/>
      <c r="S8" s="760"/>
      <c r="T8" s="764" t="s">
        <v>31</v>
      </c>
      <c r="U8" s="765"/>
      <c r="V8" s="764" t="s">
        <v>32</v>
      </c>
      <c r="W8" s="765"/>
      <c r="X8" s="766" t="s">
        <v>33</v>
      </c>
      <c r="Y8" s="766" t="s">
        <v>34</v>
      </c>
      <c r="Z8" s="766" t="s">
        <v>35</v>
      </c>
      <c r="AA8" s="768" t="s">
        <v>36</v>
      </c>
      <c r="AB8" s="773" t="s">
        <v>37</v>
      </c>
      <c r="AC8" s="766" t="s">
        <v>38</v>
      </c>
      <c r="AD8" s="766" t="s">
        <v>39</v>
      </c>
      <c r="AE8" s="766" t="s">
        <v>40</v>
      </c>
      <c r="AF8" s="760"/>
      <c r="AG8" s="782" t="s">
        <v>41</v>
      </c>
      <c r="AH8" s="784" t="s">
        <v>42</v>
      </c>
      <c r="AI8" s="785"/>
      <c r="AJ8" s="780"/>
      <c r="AK8" s="771"/>
    </row>
    <row r="9" spans="1:37" ht="15" customHeight="1" thickBot="1">
      <c r="O9" s="389"/>
      <c r="P9" s="760"/>
      <c r="Q9" s="760"/>
      <c r="R9" s="760"/>
      <c r="S9" s="757"/>
      <c r="T9" s="390" t="s">
        <v>44</v>
      </c>
      <c r="U9" s="390" t="s">
        <v>45</v>
      </c>
      <c r="V9" s="390" t="s">
        <v>46</v>
      </c>
      <c r="W9" s="390" t="s">
        <v>47</v>
      </c>
      <c r="X9" s="767"/>
      <c r="Y9" s="767"/>
      <c r="Z9" s="767"/>
      <c r="AA9" s="769"/>
      <c r="AB9" s="774"/>
      <c r="AC9" s="767"/>
      <c r="AD9" s="767"/>
      <c r="AE9" s="767"/>
      <c r="AF9" s="767"/>
      <c r="AG9" s="783"/>
      <c r="AH9" s="391"/>
      <c r="AI9" s="392" t="s">
        <v>48</v>
      </c>
      <c r="AJ9" s="781"/>
      <c r="AK9" s="772"/>
    </row>
    <row r="10" spans="1:37" ht="15" customHeight="1">
      <c r="O10" s="389"/>
      <c r="P10" s="393"/>
      <c r="Q10" s="393"/>
      <c r="R10" s="396"/>
      <c r="S10" s="394"/>
      <c r="T10" s="471"/>
      <c r="U10" s="395"/>
      <c r="V10" s="395"/>
      <c r="W10" s="395"/>
      <c r="X10" s="393"/>
      <c r="Y10" s="393"/>
      <c r="Z10" s="393"/>
      <c r="AA10" s="396"/>
      <c r="AB10" s="397"/>
      <c r="AC10" s="393"/>
      <c r="AD10" s="393"/>
      <c r="AE10" s="393"/>
      <c r="AF10" s="393"/>
      <c r="AG10" s="397"/>
      <c r="AH10" s="389"/>
      <c r="AI10" s="398"/>
      <c r="AJ10" s="399"/>
      <c r="AK10" s="396"/>
    </row>
    <row r="11" spans="1:37" ht="14.4">
      <c r="A11" s="493">
        <v>5</v>
      </c>
      <c r="B11" s="494" t="s">
        <v>156</v>
      </c>
      <c r="C11" s="495" t="s">
        <v>50</v>
      </c>
      <c r="D11" s="496">
        <v>12000</v>
      </c>
      <c r="E11" s="496">
        <f>ROUNDDOWN((D11/F4),)</f>
        <v>387</v>
      </c>
      <c r="F11" s="496">
        <f>ROUNDDOWN((D11/F4/9),)</f>
        <v>43</v>
      </c>
      <c r="G11" s="496">
        <v>27</v>
      </c>
      <c r="H11" s="496">
        <v>1</v>
      </c>
      <c r="I11" s="496">
        <v>3</v>
      </c>
      <c r="J11" s="496">
        <v>0</v>
      </c>
      <c r="K11" s="496"/>
      <c r="L11" s="496"/>
      <c r="M11" s="496"/>
      <c r="N11" s="496"/>
      <c r="O11" s="496">
        <f>SUM(G11:J11)-K11+M11</f>
        <v>31</v>
      </c>
      <c r="P11" s="496">
        <v>0</v>
      </c>
      <c r="Q11" s="428">
        <f>IF(O11=F4,D11,O11*E11)</f>
        <v>12000</v>
      </c>
      <c r="R11" s="493">
        <f>E11*P11</f>
        <v>0</v>
      </c>
      <c r="S11" s="498">
        <f>+Q11+R11</f>
        <v>12000</v>
      </c>
      <c r="T11" s="499" t="s">
        <v>51</v>
      </c>
      <c r="U11" s="500">
        <v>0</v>
      </c>
      <c r="V11" s="500">
        <v>0</v>
      </c>
      <c r="W11" s="497">
        <v>0</v>
      </c>
      <c r="X11" s="497">
        <v>0</v>
      </c>
      <c r="Y11" s="497">
        <v>0</v>
      </c>
      <c r="Z11" s="497">
        <v>0</v>
      </c>
      <c r="AA11" s="500">
        <f>SUM(U11:Z11)</f>
        <v>0</v>
      </c>
      <c r="AB11" s="497">
        <v>0</v>
      </c>
      <c r="AC11" s="500">
        <f>AA11-AB11</f>
        <v>0</v>
      </c>
      <c r="AD11" s="497"/>
      <c r="AE11" s="500"/>
      <c r="AF11" s="169">
        <f>(S11-AB11+AE11 )</f>
        <v>12000</v>
      </c>
      <c r="AG11" s="501" t="s">
        <v>213</v>
      </c>
      <c r="AH11" s="497"/>
      <c r="AI11" s="497"/>
      <c r="AJ11" s="502"/>
      <c r="AK11" s="497" t="s">
        <v>52</v>
      </c>
    </row>
    <row r="12" spans="1:37" ht="14.4">
      <c r="A12" s="408"/>
      <c r="B12" s="504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408"/>
      <c r="O12" s="420"/>
      <c r="P12" s="421"/>
      <c r="Q12" s="422"/>
      <c r="R12" s="423"/>
      <c r="T12" s="424"/>
      <c r="U12" s="425"/>
      <c r="V12" s="425"/>
      <c r="W12" s="410"/>
      <c r="X12" s="422"/>
      <c r="Y12" s="422"/>
      <c r="Z12" s="422"/>
      <c r="AA12" s="426"/>
      <c r="AB12" s="427"/>
      <c r="AC12" s="409"/>
      <c r="AD12" s="422"/>
      <c r="AE12" s="409"/>
      <c r="AF12" s="409"/>
      <c r="AG12" s="324"/>
      <c r="AH12" s="410"/>
      <c r="AI12" s="411"/>
      <c r="AJ12" s="412"/>
      <c r="AK12" s="413"/>
    </row>
    <row r="13" spans="1:37" s="503" customFormat="1" ht="14.4">
      <c r="A13" s="493">
        <v>4</v>
      </c>
      <c r="B13" s="525" t="s">
        <v>155</v>
      </c>
      <c r="C13" s="495" t="s">
        <v>50</v>
      </c>
      <c r="D13" s="496">
        <v>12000</v>
      </c>
      <c r="E13" s="496">
        <f>ROUNDDOWN((D13/F4),)</f>
        <v>387</v>
      </c>
      <c r="F13" s="496">
        <f>ROUNDDOWN((D13/F4/9),)</f>
        <v>43</v>
      </c>
      <c r="G13" s="496">
        <v>31</v>
      </c>
      <c r="H13" s="496">
        <v>0</v>
      </c>
      <c r="I13" s="496">
        <v>4</v>
      </c>
      <c r="J13" s="496">
        <v>0</v>
      </c>
      <c r="K13" s="496"/>
      <c r="L13" s="496"/>
      <c r="M13" s="496"/>
      <c r="N13" s="496"/>
      <c r="O13" s="496">
        <f>SUM(G13:J13)-K13+M13</f>
        <v>35</v>
      </c>
      <c r="P13" s="496">
        <v>0</v>
      </c>
      <c r="Q13" s="428">
        <f>IF(O13=F4,D13,O13*E13)</f>
        <v>13545</v>
      </c>
      <c r="R13" s="493">
        <f>E13*P13</f>
        <v>0</v>
      </c>
      <c r="S13" s="498">
        <f>+Q13+R13</f>
        <v>13545</v>
      </c>
      <c r="T13" s="499" t="s">
        <v>51</v>
      </c>
      <c r="U13" s="500">
        <v>0</v>
      </c>
      <c r="V13" s="500">
        <v>0</v>
      </c>
      <c r="W13" s="497">
        <v>0</v>
      </c>
      <c r="X13" s="497">
        <v>0</v>
      </c>
      <c r="Y13" s="497">
        <v>0</v>
      </c>
      <c r="Z13" s="497">
        <v>0</v>
      </c>
      <c r="AA13" s="500">
        <f>SUM(U13:Z13)</f>
        <v>0</v>
      </c>
      <c r="AB13" s="497">
        <v>0</v>
      </c>
      <c r="AC13" s="500">
        <f>AA13-AB13</f>
        <v>0</v>
      </c>
      <c r="AD13" s="497"/>
      <c r="AE13" s="500"/>
      <c r="AF13" s="169">
        <f>(S13-AB13+AE13 )</f>
        <v>13545</v>
      </c>
      <c r="AG13" s="501" t="s">
        <v>216</v>
      </c>
      <c r="AH13" s="497"/>
      <c r="AI13" s="497"/>
      <c r="AJ13" s="502"/>
      <c r="AK13" s="497" t="s">
        <v>52</v>
      </c>
    </row>
    <row r="14" spans="1:37" ht="14.4">
      <c r="A14" s="408"/>
      <c r="B14" s="504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20"/>
      <c r="P14" s="421"/>
      <c r="Q14" s="422"/>
      <c r="R14" s="423"/>
      <c r="T14" s="424"/>
      <c r="U14" s="425"/>
      <c r="V14" s="425"/>
      <c r="W14" s="410"/>
      <c r="X14" s="422"/>
      <c r="Y14" s="422"/>
      <c r="Z14" s="422"/>
      <c r="AA14" s="426"/>
      <c r="AB14" s="427"/>
      <c r="AC14" s="409"/>
      <c r="AD14" s="422"/>
      <c r="AE14" s="409"/>
      <c r="AF14" s="409"/>
      <c r="AG14" s="324"/>
      <c r="AH14" s="410"/>
      <c r="AI14" s="411"/>
      <c r="AJ14" s="412"/>
      <c r="AK14" s="413"/>
    </row>
    <row r="15" spans="1:37" ht="14.4">
      <c r="A15" s="383">
        <v>6</v>
      </c>
      <c r="B15" s="524" t="s">
        <v>204</v>
      </c>
      <c r="C15" s="400" t="s">
        <v>50</v>
      </c>
      <c r="D15" s="382">
        <v>12000</v>
      </c>
      <c r="E15" s="382">
        <f>ROUNDDOWN((D15/F4),)</f>
        <v>387</v>
      </c>
      <c r="F15" s="382">
        <f>ROUNDDOWN((D15/F4/9),)</f>
        <v>43</v>
      </c>
      <c r="G15" s="406">
        <v>17</v>
      </c>
      <c r="H15" s="382">
        <v>1</v>
      </c>
      <c r="I15" s="382">
        <v>1</v>
      </c>
      <c r="J15" s="382">
        <v>0</v>
      </c>
      <c r="K15" s="382"/>
      <c r="L15" s="382"/>
      <c r="M15" s="382"/>
      <c r="N15" s="382"/>
      <c r="O15" s="382">
        <f>SUM(G15:J15)-K15+M15</f>
        <v>19</v>
      </c>
      <c r="P15" s="382">
        <v>0</v>
      </c>
      <c r="Q15" s="428">
        <f>IF(O15=F4,D15,O15*E15)</f>
        <v>7353</v>
      </c>
      <c r="R15" s="383">
        <f>E15*P15</f>
        <v>0</v>
      </c>
      <c r="S15" s="402">
        <f>+Q15+R15</f>
        <v>7353</v>
      </c>
      <c r="T15" s="403" t="s">
        <v>51</v>
      </c>
      <c r="U15" s="404">
        <v>0</v>
      </c>
      <c r="V15" s="404">
        <v>350</v>
      </c>
      <c r="W15" s="401">
        <v>350</v>
      </c>
      <c r="X15" s="401">
        <v>0</v>
      </c>
      <c r="Y15" s="401">
        <v>0</v>
      </c>
      <c r="Z15" s="401">
        <v>0</v>
      </c>
      <c r="AA15" s="404">
        <f>SUM(U15:Z15)</f>
        <v>700</v>
      </c>
      <c r="AB15" s="401">
        <v>700</v>
      </c>
      <c r="AC15" s="404">
        <f>AA15-AB15</f>
        <v>0</v>
      </c>
      <c r="AD15" s="401"/>
      <c r="AE15" s="404"/>
      <c r="AF15" s="169">
        <f>(S15-AB15+AE15 )</f>
        <v>6653</v>
      </c>
      <c r="AG15" s="289"/>
      <c r="AH15" s="401"/>
      <c r="AI15" s="414" t="s">
        <v>166</v>
      </c>
      <c r="AJ15" s="405"/>
      <c r="AK15" s="401" t="s">
        <v>122</v>
      </c>
    </row>
    <row r="16" spans="1:37" ht="14.4">
      <c r="A16" s="382">
        <v>2</v>
      </c>
      <c r="B16" s="522" t="s">
        <v>140</v>
      </c>
      <c r="C16" s="382" t="s">
        <v>50</v>
      </c>
      <c r="D16" s="382">
        <v>12000</v>
      </c>
      <c r="E16" s="382">
        <f>ROUNDDOWN((D16/F4),)</f>
        <v>387</v>
      </c>
      <c r="F16" s="382">
        <f>ROUNDDOWN((D16/F4/9),)</f>
        <v>43</v>
      </c>
      <c r="G16" s="382">
        <v>15</v>
      </c>
      <c r="H16" s="382">
        <v>1</v>
      </c>
      <c r="I16" s="406">
        <v>1</v>
      </c>
      <c r="J16" s="382">
        <v>0</v>
      </c>
      <c r="K16" s="382"/>
      <c r="L16" s="382"/>
      <c r="M16" s="382"/>
      <c r="N16" s="382"/>
      <c r="O16" s="382">
        <f>SUM(G16:J16)-K16+M16</f>
        <v>17</v>
      </c>
      <c r="P16" s="382">
        <v>0</v>
      </c>
      <c r="Q16" s="428">
        <f>IF(O16=F4,D16,O16*E16)</f>
        <v>6579</v>
      </c>
      <c r="R16" s="383">
        <f>E16*P16</f>
        <v>0</v>
      </c>
      <c r="S16" s="402">
        <f>+Q16+R16</f>
        <v>6579</v>
      </c>
      <c r="T16" s="403" t="s">
        <v>51</v>
      </c>
      <c r="U16" s="404">
        <v>0</v>
      </c>
      <c r="V16" s="404">
        <v>350</v>
      </c>
      <c r="W16" s="401">
        <v>350</v>
      </c>
      <c r="X16" s="401">
        <v>0</v>
      </c>
      <c r="Y16" s="401">
        <v>0</v>
      </c>
      <c r="Z16" s="401">
        <v>0</v>
      </c>
      <c r="AA16" s="404">
        <f>SUM(U16:Z16)</f>
        <v>700</v>
      </c>
      <c r="AB16" s="401">
        <v>700</v>
      </c>
      <c r="AC16" s="404">
        <f>AA16-AB16</f>
        <v>0</v>
      </c>
      <c r="AD16" s="401"/>
      <c r="AE16" s="404"/>
      <c r="AF16" s="169">
        <f>(S16-AB16+AE16 )</f>
        <v>5879</v>
      </c>
      <c r="AG16" s="289"/>
      <c r="AH16" s="401"/>
      <c r="AI16" s="401"/>
      <c r="AJ16" s="405"/>
      <c r="AK16" s="401" t="s">
        <v>122</v>
      </c>
    </row>
    <row r="17" spans="1:37" ht="14.4">
      <c r="A17" s="408"/>
      <c r="B17" s="533"/>
      <c r="C17" s="408"/>
      <c r="D17" s="408"/>
      <c r="E17" s="408"/>
      <c r="F17" s="408"/>
      <c r="G17" s="408"/>
      <c r="H17" s="408"/>
      <c r="I17" s="573"/>
      <c r="J17" s="408"/>
      <c r="K17" s="408"/>
      <c r="L17" s="408"/>
      <c r="M17" s="408"/>
      <c r="N17" s="408"/>
      <c r="O17" s="420"/>
      <c r="P17" s="421"/>
      <c r="Q17" s="574"/>
      <c r="R17" s="423"/>
      <c r="T17" s="424"/>
      <c r="U17" s="425"/>
      <c r="V17" s="425"/>
      <c r="W17" s="410"/>
      <c r="X17" s="422"/>
      <c r="Y17" s="422"/>
      <c r="Z17" s="422"/>
      <c r="AA17" s="426"/>
      <c r="AB17" s="427"/>
      <c r="AC17" s="409"/>
      <c r="AD17" s="422"/>
      <c r="AE17" s="409"/>
      <c r="AF17" s="575">
        <f>AF15+AF16</f>
        <v>12532</v>
      </c>
      <c r="AG17" s="324" t="s">
        <v>225</v>
      </c>
      <c r="AH17" s="410"/>
      <c r="AI17" s="411"/>
      <c r="AJ17" s="412"/>
      <c r="AK17" s="413"/>
    </row>
    <row r="18" spans="1:37" ht="14.4">
      <c r="A18" s="408"/>
      <c r="B18" s="504"/>
      <c r="C18" s="408"/>
      <c r="D18" s="408"/>
      <c r="E18" s="408"/>
      <c r="F18" s="408"/>
      <c r="G18" s="408"/>
      <c r="H18" s="408"/>
      <c r="I18" s="408"/>
      <c r="J18" s="408"/>
      <c r="K18" s="408"/>
      <c r="L18" s="408"/>
      <c r="M18" s="408"/>
      <c r="N18" s="408"/>
      <c r="O18" s="420"/>
      <c r="P18" s="421"/>
      <c r="Q18" s="422"/>
      <c r="R18" s="423"/>
      <c r="T18" s="424"/>
      <c r="U18" s="425"/>
      <c r="V18" s="425"/>
      <c r="W18" s="410"/>
      <c r="X18" s="422"/>
      <c r="Y18" s="422"/>
      <c r="Z18" s="422"/>
      <c r="AA18" s="426"/>
      <c r="AB18" s="427"/>
      <c r="AC18" s="409"/>
      <c r="AD18" s="422"/>
      <c r="AE18" s="409"/>
      <c r="AF18" s="409"/>
      <c r="AG18" s="324"/>
      <c r="AH18" s="410"/>
      <c r="AI18" s="411"/>
      <c r="AJ18" s="412"/>
      <c r="AK18" s="413"/>
    </row>
    <row r="19" spans="1:37" ht="14.4">
      <c r="A19" s="383">
        <v>5</v>
      </c>
      <c r="B19" s="523" t="s">
        <v>180</v>
      </c>
      <c r="C19" s="400" t="s">
        <v>50</v>
      </c>
      <c r="D19" s="382">
        <v>12000</v>
      </c>
      <c r="E19" s="382">
        <f>ROUNDDOWN((D19/F4),)</f>
        <v>387</v>
      </c>
      <c r="F19" s="382">
        <f>ROUNDDOWN((D19/F4/9),)</f>
        <v>43</v>
      </c>
      <c r="G19" s="382">
        <v>21</v>
      </c>
      <c r="H19" s="382">
        <v>0</v>
      </c>
      <c r="I19" s="382">
        <v>3</v>
      </c>
      <c r="J19" s="382">
        <v>0</v>
      </c>
      <c r="K19" s="382"/>
      <c r="L19" s="382"/>
      <c r="M19" s="382"/>
      <c r="N19" s="382"/>
      <c r="O19" s="382">
        <f>SUM(G19:J19)-K19+M19</f>
        <v>24</v>
      </c>
      <c r="P19" s="382">
        <v>0</v>
      </c>
      <c r="Q19" s="428">
        <f>IF(O19=F4,D19,O19*E19)</f>
        <v>9288</v>
      </c>
      <c r="R19" s="383">
        <f>E19*P19</f>
        <v>0</v>
      </c>
      <c r="S19" s="402">
        <f>+Q19+R19</f>
        <v>9288</v>
      </c>
      <c r="T19" s="403" t="s">
        <v>51</v>
      </c>
      <c r="U19" s="404">
        <v>0</v>
      </c>
      <c r="V19" s="404">
        <v>0</v>
      </c>
      <c r="W19" s="401">
        <v>0</v>
      </c>
      <c r="X19" s="401">
        <v>0</v>
      </c>
      <c r="Y19" s="401">
        <v>0</v>
      </c>
      <c r="Z19" s="401">
        <v>0</v>
      </c>
      <c r="AA19" s="404">
        <f>SUM(U19:Z19)</f>
        <v>0</v>
      </c>
      <c r="AB19" s="401">
        <v>0</v>
      </c>
      <c r="AC19" s="404">
        <f>AA19-AB19</f>
        <v>0</v>
      </c>
      <c r="AD19" s="401"/>
      <c r="AE19" s="404"/>
      <c r="AF19" s="169">
        <f>(S19-AB19+AE19 )</f>
        <v>9288</v>
      </c>
      <c r="AG19" s="289" t="s">
        <v>225</v>
      </c>
      <c r="AH19" s="401"/>
      <c r="AI19" s="401"/>
      <c r="AJ19" s="405"/>
      <c r="AK19" s="401" t="s">
        <v>122</v>
      </c>
    </row>
    <row r="20" spans="1:37" ht="14.4">
      <c r="A20" s="408"/>
      <c r="B20" s="504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20"/>
      <c r="P20" s="421"/>
      <c r="Q20" s="422"/>
      <c r="R20" s="423"/>
      <c r="T20" s="424"/>
      <c r="U20" s="425"/>
      <c r="V20" s="425"/>
      <c r="W20" s="410"/>
      <c r="X20" s="422"/>
      <c r="Y20" s="422"/>
      <c r="Z20" s="422"/>
      <c r="AA20" s="426"/>
      <c r="AB20" s="427"/>
      <c r="AC20" s="409"/>
      <c r="AD20" s="422"/>
      <c r="AE20" s="409"/>
      <c r="AF20" s="409"/>
      <c r="AG20" s="324"/>
      <c r="AH20" s="410"/>
      <c r="AI20" s="411"/>
      <c r="AJ20" s="412"/>
      <c r="AK20" s="413"/>
    </row>
    <row r="21" spans="1:37" ht="14.4">
      <c r="A21" s="382">
        <v>3</v>
      </c>
      <c r="B21" s="522" t="s">
        <v>157</v>
      </c>
      <c r="C21" s="382" t="s">
        <v>50</v>
      </c>
      <c r="D21" s="382">
        <v>12000</v>
      </c>
      <c r="E21" s="382">
        <f>ROUNDDOWN((D21/F4),)</f>
        <v>387</v>
      </c>
      <c r="F21" s="382">
        <f>ROUNDDOWN((D21/F4/9),)</f>
        <v>43</v>
      </c>
      <c r="G21" s="382">
        <v>23</v>
      </c>
      <c r="H21" s="382">
        <v>0</v>
      </c>
      <c r="I21" s="382">
        <v>3</v>
      </c>
      <c r="J21" s="382">
        <v>0</v>
      </c>
      <c r="K21" s="382"/>
      <c r="L21" s="382"/>
      <c r="M21" s="382"/>
      <c r="N21" s="382"/>
      <c r="O21" s="382">
        <f>SUM(G21:J21)-K21+M21</f>
        <v>26</v>
      </c>
      <c r="P21" s="382">
        <v>0</v>
      </c>
      <c r="Q21" s="428">
        <f>IF(O21=F4,D21,O21*E21)</f>
        <v>10062</v>
      </c>
      <c r="R21" s="383">
        <f>E21*P21</f>
        <v>0</v>
      </c>
      <c r="S21" s="402">
        <f>+Q21+R21</f>
        <v>10062</v>
      </c>
      <c r="T21" s="403">
        <v>45979</v>
      </c>
      <c r="U21" s="404">
        <v>3500</v>
      </c>
      <c r="V21" s="407">
        <v>350</v>
      </c>
      <c r="W21" s="401">
        <v>350</v>
      </c>
      <c r="X21" s="401">
        <v>0</v>
      </c>
      <c r="Y21" s="401">
        <v>0</v>
      </c>
      <c r="Z21" s="401">
        <v>0</v>
      </c>
      <c r="AA21" s="404">
        <f>SUM(U21:Z21)</f>
        <v>4200</v>
      </c>
      <c r="AB21" s="401">
        <v>4200</v>
      </c>
      <c r="AC21" s="404">
        <f>AA21-AB21</f>
        <v>0</v>
      </c>
      <c r="AD21" s="401"/>
      <c r="AE21" s="404"/>
      <c r="AF21" s="169">
        <f>(S21-AB21+AE21 )</f>
        <v>5862</v>
      </c>
      <c r="AG21" s="289" t="s">
        <v>225</v>
      </c>
      <c r="AH21" s="401"/>
      <c r="AI21" s="401"/>
      <c r="AJ21" s="405"/>
      <c r="AK21" s="401" t="s">
        <v>122</v>
      </c>
    </row>
    <row r="22" spans="1:37" ht="14.4">
      <c r="A22" s="408"/>
      <c r="B22" s="504"/>
      <c r="C22" s="408"/>
      <c r="D22" s="408"/>
      <c r="E22" s="408"/>
      <c r="F22" s="408"/>
      <c r="G22" s="408"/>
      <c r="H22" s="408"/>
      <c r="I22" s="408"/>
      <c r="J22" s="408"/>
      <c r="K22" s="408"/>
      <c r="L22" s="408"/>
      <c r="M22" s="408"/>
      <c r="N22" s="408"/>
      <c r="O22" s="420"/>
      <c r="P22" s="421"/>
      <c r="Q22" s="422"/>
      <c r="R22" s="423"/>
      <c r="T22" s="424"/>
      <c r="U22" s="425"/>
      <c r="V22" s="425"/>
      <c r="W22" s="410"/>
      <c r="X22" s="422"/>
      <c r="Y22" s="422"/>
      <c r="Z22" s="422"/>
      <c r="AA22" s="426"/>
      <c r="AB22" s="427"/>
      <c r="AC22" s="409"/>
      <c r="AD22" s="422"/>
      <c r="AE22" s="409"/>
      <c r="AF22" s="409"/>
      <c r="AG22" s="324"/>
      <c r="AH22" s="410"/>
      <c r="AI22" s="411"/>
      <c r="AJ22" s="412"/>
      <c r="AK22" s="413"/>
    </row>
    <row r="23" spans="1:37" ht="14.4">
      <c r="A23" s="383">
        <v>1</v>
      </c>
      <c r="B23" s="521" t="s">
        <v>141</v>
      </c>
      <c r="C23" s="400" t="s">
        <v>50</v>
      </c>
      <c r="D23" s="382">
        <v>12000</v>
      </c>
      <c r="E23" s="382">
        <f>ROUNDDOWN((D23/F4),)</f>
        <v>387</v>
      </c>
      <c r="F23" s="382">
        <f>ROUNDDOWN((D23/F4/9),)</f>
        <v>43</v>
      </c>
      <c r="G23" s="382">
        <v>22</v>
      </c>
      <c r="H23" s="382">
        <v>1</v>
      </c>
      <c r="I23" s="382">
        <v>2</v>
      </c>
      <c r="J23" s="382">
        <v>0</v>
      </c>
      <c r="K23" s="382"/>
      <c r="L23" s="382"/>
      <c r="M23" s="382"/>
      <c r="N23" s="382"/>
      <c r="O23" s="382">
        <f>SUM(G23:J23)-K23+M23</f>
        <v>25</v>
      </c>
      <c r="P23" s="382">
        <v>0</v>
      </c>
      <c r="Q23" s="428">
        <f>IF(O23=F4,D23,O23*E23)</f>
        <v>9675</v>
      </c>
      <c r="R23" s="383">
        <f>E23*P23</f>
        <v>0</v>
      </c>
      <c r="S23" s="402">
        <f>+Q23+R23</f>
        <v>9675</v>
      </c>
      <c r="T23" s="403" t="s">
        <v>51</v>
      </c>
      <c r="U23" s="404">
        <v>0</v>
      </c>
      <c r="V23" s="404">
        <v>0</v>
      </c>
      <c r="W23" s="401">
        <v>0</v>
      </c>
      <c r="X23" s="401">
        <v>0</v>
      </c>
      <c r="Y23" s="401">
        <v>0</v>
      </c>
      <c r="Z23" s="401">
        <v>0</v>
      </c>
      <c r="AA23" s="404">
        <f>SUM(U23:Z23)</f>
        <v>0</v>
      </c>
      <c r="AB23" s="401">
        <v>0</v>
      </c>
      <c r="AC23" s="404">
        <f>AA23-AB23</f>
        <v>0</v>
      </c>
      <c r="AD23" s="401"/>
      <c r="AE23" s="404"/>
      <c r="AF23" s="169">
        <f>(S23-AB23+AE23 )</f>
        <v>9675</v>
      </c>
      <c r="AG23" s="289" t="s">
        <v>225</v>
      </c>
      <c r="AH23" s="401"/>
      <c r="AI23" s="401"/>
      <c r="AJ23" s="405"/>
      <c r="AK23" s="401" t="s">
        <v>52</v>
      </c>
    </row>
    <row r="24" spans="1:37" ht="14.4">
      <c r="A24" s="408"/>
      <c r="B24" s="531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20"/>
      <c r="P24" s="421"/>
      <c r="Q24" s="422"/>
      <c r="R24" s="423"/>
      <c r="T24" s="424"/>
      <c r="U24" s="425"/>
      <c r="V24" s="425"/>
      <c r="W24" s="410"/>
      <c r="X24" s="422"/>
      <c r="Y24" s="422"/>
      <c r="Z24" s="422"/>
      <c r="AA24" s="426"/>
      <c r="AB24" s="427"/>
      <c r="AC24" s="409"/>
      <c r="AD24" s="422"/>
      <c r="AE24" s="409"/>
      <c r="AF24" s="409"/>
      <c r="AG24" s="532"/>
      <c r="AH24" s="410"/>
      <c r="AI24" s="411"/>
      <c r="AJ24" s="412"/>
      <c r="AK24" s="413"/>
    </row>
    <row r="25" spans="1:37" ht="14.4">
      <c r="A25" s="383">
        <v>1</v>
      </c>
      <c r="B25" s="521" t="s">
        <v>183</v>
      </c>
      <c r="C25" s="400" t="s">
        <v>50</v>
      </c>
      <c r="D25" s="382">
        <v>12000</v>
      </c>
      <c r="E25" s="382">
        <f>ROUNDDOWN((D25/F4),)</f>
        <v>387</v>
      </c>
      <c r="F25" s="382">
        <f>ROUNDDOWN((D25/F4/9),)</f>
        <v>43</v>
      </c>
      <c r="G25" s="382">
        <v>4</v>
      </c>
      <c r="H25" s="382">
        <v>0</v>
      </c>
      <c r="I25" s="382">
        <v>0</v>
      </c>
      <c r="J25" s="382">
        <v>0</v>
      </c>
      <c r="K25" s="382"/>
      <c r="L25" s="382"/>
      <c r="M25" s="382"/>
      <c r="N25" s="382"/>
      <c r="O25" s="382">
        <f>SUM(G25:J25)-K25+M25</f>
        <v>4</v>
      </c>
      <c r="P25" s="382">
        <v>0</v>
      </c>
      <c r="Q25" s="428">
        <f>IF(O25=F4,D25,O25*E25)</f>
        <v>1548</v>
      </c>
      <c r="R25" s="383">
        <f>E25*P25</f>
        <v>0</v>
      </c>
      <c r="S25" s="402">
        <f>+Q25+R25</f>
        <v>1548</v>
      </c>
      <c r="T25" s="403" t="s">
        <v>51</v>
      </c>
      <c r="U25" s="404">
        <v>0</v>
      </c>
      <c r="V25" s="404">
        <v>0</v>
      </c>
      <c r="W25" s="401">
        <v>0</v>
      </c>
      <c r="X25" s="401">
        <v>0</v>
      </c>
      <c r="Y25" s="401">
        <v>0</v>
      </c>
      <c r="Z25" s="401">
        <v>0</v>
      </c>
      <c r="AA25" s="404">
        <f>SUM(U25:Z25)</f>
        <v>0</v>
      </c>
      <c r="AB25" s="401">
        <v>0</v>
      </c>
      <c r="AC25" s="404">
        <f>AA25-AB25</f>
        <v>0</v>
      </c>
      <c r="AD25" s="401"/>
      <c r="AE25" s="404"/>
      <c r="AF25" s="169">
        <f>(S25-AB25+AE25 )</f>
        <v>1548</v>
      </c>
      <c r="AG25" s="289" t="s">
        <v>225</v>
      </c>
      <c r="AH25" s="401"/>
      <c r="AI25" s="401"/>
      <c r="AJ25" s="405"/>
      <c r="AK25" s="401" t="s">
        <v>52</v>
      </c>
    </row>
    <row r="26" spans="1:37" ht="15" customHeight="1">
      <c r="B26" s="533"/>
      <c r="O26" s="389"/>
      <c r="P26" s="393"/>
      <c r="Q26" s="393"/>
      <c r="R26" s="393"/>
      <c r="S26" s="394"/>
      <c r="T26" s="395"/>
      <c r="U26" s="395"/>
      <c r="V26" s="395"/>
      <c r="W26" s="395"/>
      <c r="X26" s="393"/>
      <c r="Y26" s="393"/>
      <c r="Z26" s="393"/>
      <c r="AA26" s="396"/>
      <c r="AB26" s="397"/>
      <c r="AC26" s="393"/>
      <c r="AD26" s="393"/>
      <c r="AE26" s="393"/>
      <c r="AF26" s="393"/>
      <c r="AG26" s="397"/>
      <c r="AH26" s="389"/>
      <c r="AI26" s="398"/>
      <c r="AJ26" s="399"/>
      <c r="AK26" s="396"/>
    </row>
    <row r="27" spans="1:37" s="572" customFormat="1" ht="14.4">
      <c r="A27" s="562">
        <v>7</v>
      </c>
      <c r="B27" s="563" t="s">
        <v>142</v>
      </c>
      <c r="C27" s="564" t="s">
        <v>50</v>
      </c>
      <c r="D27" s="565">
        <v>14000</v>
      </c>
      <c r="E27" s="565">
        <f>ROUNDDOWN((D27/F4),)</f>
        <v>451</v>
      </c>
      <c r="F27" s="565">
        <f>ROUNDDOWN((D27/F4/9),)</f>
        <v>50</v>
      </c>
      <c r="G27" s="565">
        <v>22</v>
      </c>
      <c r="H27" s="565">
        <v>4</v>
      </c>
      <c r="I27" s="565">
        <v>0</v>
      </c>
      <c r="J27" s="565">
        <v>1</v>
      </c>
      <c r="K27" s="565"/>
      <c r="L27" s="565"/>
      <c r="M27" s="565"/>
      <c r="N27" s="565"/>
      <c r="O27" s="565">
        <f>SUM(G27:J27)-K27+M27</f>
        <v>27</v>
      </c>
      <c r="P27" s="565">
        <v>0</v>
      </c>
      <c r="Q27" s="566">
        <f>IF(O27=F4,D27,O27*E27)</f>
        <v>12177</v>
      </c>
      <c r="R27" s="562">
        <f>E27*P27</f>
        <v>0</v>
      </c>
      <c r="S27" s="567">
        <f>+Q27+R27</f>
        <v>12177</v>
      </c>
      <c r="T27" s="568" t="s">
        <v>188</v>
      </c>
      <c r="U27" s="569">
        <v>17000</v>
      </c>
      <c r="V27" s="569">
        <v>0</v>
      </c>
      <c r="W27" s="566">
        <v>0</v>
      </c>
      <c r="X27" s="566">
        <v>0</v>
      </c>
      <c r="Y27" s="566">
        <v>0</v>
      </c>
      <c r="Z27" s="566">
        <v>0</v>
      </c>
      <c r="AA27" s="569">
        <f>SUM(U27:Z27)</f>
        <v>17000</v>
      </c>
      <c r="AB27" s="566">
        <v>17000</v>
      </c>
      <c r="AC27" s="569">
        <f>AA27-AB27</f>
        <v>0</v>
      </c>
      <c r="AD27" s="566"/>
      <c r="AE27" s="569"/>
      <c r="AF27" s="569">
        <f>(S27-AB27+AE27 )</f>
        <v>-4823</v>
      </c>
      <c r="AG27" s="570"/>
      <c r="AH27" s="566"/>
      <c r="AI27" s="566"/>
      <c r="AJ27" s="571"/>
      <c r="AK27" s="566" t="s">
        <v>122</v>
      </c>
    </row>
    <row r="28" spans="1:37" ht="14.4">
      <c r="A28" s="408"/>
      <c r="B28" s="534"/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08"/>
      <c r="P28" s="408"/>
      <c r="Q28" s="535"/>
      <c r="R28" s="408"/>
      <c r="T28" s="536"/>
      <c r="U28" s="537"/>
      <c r="V28" s="537"/>
      <c r="W28" s="535"/>
      <c r="X28" s="535"/>
      <c r="Y28" s="535"/>
      <c r="Z28" s="535"/>
      <c r="AA28" s="537"/>
      <c r="AB28" s="535"/>
      <c r="AC28" s="537"/>
      <c r="AD28" s="535"/>
      <c r="AE28" s="537"/>
      <c r="AF28" s="537"/>
      <c r="AG28" s="331"/>
      <c r="AH28" s="535"/>
      <c r="AI28" s="535"/>
      <c r="AJ28" s="538"/>
      <c r="AK28" s="535"/>
    </row>
    <row r="29" spans="1:37" ht="14.25" customHeight="1">
      <c r="S29" s="376">
        <f>SUM(S23:S27)</f>
        <v>23400</v>
      </c>
    </row>
    <row r="31" spans="1:37" ht="14.25" customHeight="1"/>
    <row r="33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27">
    <mergeCell ref="AK7:AK9"/>
    <mergeCell ref="AB8:AB9"/>
    <mergeCell ref="AC8:AC9"/>
    <mergeCell ref="AD8:AD9"/>
    <mergeCell ref="AE8:AE9"/>
    <mergeCell ref="AB7:AC7"/>
    <mergeCell ref="AD7:AE7"/>
    <mergeCell ref="AF7:AF9"/>
    <mergeCell ref="AG7:AI7"/>
    <mergeCell ref="AJ7:AJ9"/>
    <mergeCell ref="AG8:AG9"/>
    <mergeCell ref="AH8:AI8"/>
    <mergeCell ref="Q7:Q9"/>
    <mergeCell ref="R7:R9"/>
    <mergeCell ref="S7:S9"/>
    <mergeCell ref="T7:AA7"/>
    <mergeCell ref="T8:U8"/>
    <mergeCell ref="V8:W8"/>
    <mergeCell ref="X8:X9"/>
    <mergeCell ref="Y8:Y9"/>
    <mergeCell ref="Z8:Z9"/>
    <mergeCell ref="AA8:AA9"/>
    <mergeCell ref="A7:A8"/>
    <mergeCell ref="B7:B8"/>
    <mergeCell ref="C7:C8"/>
    <mergeCell ref="D7:D8"/>
    <mergeCell ref="P7:P9"/>
  </mergeCells>
  <dataValidations count="2">
    <dataValidation type="list" allowBlank="1" showErrorMessage="1" sqref="AH27:AH28 AH11:AH25" xr:uid="{C915620F-4EED-4B30-A0F5-87C359069D8A}">
      <formula1>"Own,Other"</formula1>
    </dataValidation>
    <dataValidation type="list" allowBlank="1" showErrorMessage="1" sqref="AK27:AK28 AK11:AK25" xr:uid="{2EF5C337-8A02-4A2B-AE13-DDA24F673F6A}">
      <formula1>"Working,Left"</formula1>
    </dataValidation>
  </dataValidations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0B4A-CC75-4461-8191-032709F28297}">
  <dimension ref="A1:AN1005"/>
  <sheetViews>
    <sheetView tabSelected="1" zoomScale="76" workbookViewId="0">
      <selection activeCell="AF28" sqref="AF28"/>
    </sheetView>
  </sheetViews>
  <sheetFormatPr defaultColWidth="14.44140625" defaultRowHeight="15" customHeight="1"/>
  <cols>
    <col min="1" max="1" width="3.88671875" style="349" customWidth="1"/>
    <col min="2" max="2" width="4.109375" style="349" customWidth="1"/>
    <col min="3" max="3" width="11.44140625" style="349" customWidth="1"/>
    <col min="4" max="4" width="10.6640625" style="349" customWidth="1"/>
    <col min="5" max="5" width="7.21875" style="349" customWidth="1"/>
    <col min="6" max="6" width="4.88671875" style="349" bestFit="1" customWidth="1"/>
    <col min="7" max="7" width="6.109375" style="349" customWidth="1"/>
    <col min="8" max="8" width="3.44140625" style="349" customWidth="1"/>
    <col min="9" max="9" width="4.33203125" style="349" customWidth="1"/>
    <col min="10" max="10" width="5.33203125" style="349" customWidth="1"/>
    <col min="11" max="12" width="3.5546875" style="349" customWidth="1"/>
    <col min="13" max="13" width="6.5546875" style="349" hidden="1" customWidth="1"/>
    <col min="14" max="14" width="5.33203125" style="349" hidden="1" customWidth="1"/>
    <col min="15" max="15" width="6.5546875" style="349" hidden="1" customWidth="1"/>
    <col min="16" max="16" width="5.6640625" style="349" customWidth="1"/>
    <col min="17" max="17" width="5.88671875" style="349" bestFit="1" customWidth="1"/>
    <col min="18" max="18" width="7.5546875" style="349" customWidth="1"/>
    <col min="19" max="19" width="5.5546875" style="349" customWidth="1"/>
    <col min="20" max="20" width="6.6640625" style="349" customWidth="1"/>
    <col min="21" max="21" width="11.33203125" style="349" customWidth="1"/>
    <col min="22" max="22" width="8.88671875" style="349" customWidth="1"/>
    <col min="23" max="23" width="6.5546875" style="349" customWidth="1"/>
    <col min="24" max="24" width="4.6640625" style="349" customWidth="1"/>
    <col min="25" max="25" width="6" style="349" customWidth="1"/>
    <col min="26" max="26" width="2.6640625" style="349" customWidth="1"/>
    <col min="27" max="28" width="6.5546875" style="349" customWidth="1"/>
    <col min="29" max="29" width="7.77734375" style="349" bestFit="1" customWidth="1"/>
    <col min="30" max="30" width="7.33203125" style="349" customWidth="1"/>
    <col min="31" max="31" width="8.5546875" style="349" customWidth="1"/>
    <col min="32" max="32" width="6.88671875" style="349" customWidth="1"/>
    <col min="33" max="33" width="3.88671875" style="349" customWidth="1"/>
    <col min="34" max="34" width="11.5546875" style="349" customWidth="1"/>
    <col min="35" max="35" width="9.5546875" style="349" bestFit="1" customWidth="1"/>
    <col min="36" max="36" width="8.6640625" style="349" customWidth="1"/>
    <col min="37" max="37" width="11.88671875" style="349" bestFit="1" customWidth="1"/>
    <col min="38" max="38" width="8.33203125" style="349" bestFit="1" customWidth="1"/>
    <col min="39" max="39" width="11.88671875" style="349" bestFit="1" customWidth="1"/>
    <col min="40" max="16384" width="14.44140625" style="349"/>
  </cols>
  <sheetData>
    <row r="1" spans="1:40" ht="18.75" customHeight="1">
      <c r="B1" s="350"/>
      <c r="C1" s="350" t="s">
        <v>0</v>
      </c>
    </row>
    <row r="2" spans="1:40" ht="14.25" customHeight="1"/>
    <row r="3" spans="1:40" ht="15.75" customHeight="1">
      <c r="C3" s="351" t="s">
        <v>1</v>
      </c>
      <c r="D3" s="351"/>
      <c r="E3" s="352" t="s">
        <v>74</v>
      </c>
    </row>
    <row r="4" spans="1:40" ht="14.25" customHeight="1">
      <c r="C4" s="351" t="s">
        <v>3</v>
      </c>
      <c r="D4" s="351"/>
      <c r="E4" s="4" t="s">
        <v>177</v>
      </c>
      <c r="F4"/>
      <c r="G4" s="5">
        <v>31</v>
      </c>
      <c r="P4" s="545" t="s">
        <v>221</v>
      </c>
    </row>
    <row r="5" spans="1:40" ht="15" customHeight="1">
      <c r="C5" s="351" t="s">
        <v>4</v>
      </c>
      <c r="D5" s="351"/>
      <c r="E5" s="353" t="s">
        <v>5</v>
      </c>
    </row>
    <row r="6" spans="1:40" ht="15" customHeight="1" thickBot="1">
      <c r="Y6" s="815"/>
      <c r="Z6" s="816"/>
      <c r="AA6" s="816"/>
      <c r="AB6" s="816"/>
      <c r="AC6" s="816"/>
    </row>
    <row r="7" spans="1:40" ht="15" customHeight="1">
      <c r="B7" s="817" t="s">
        <v>54</v>
      </c>
      <c r="C7" s="817" t="s">
        <v>8</v>
      </c>
      <c r="D7" s="819" t="s">
        <v>9</v>
      </c>
      <c r="E7" s="819" t="s">
        <v>10</v>
      </c>
      <c r="F7" s="354"/>
      <c r="G7" s="355"/>
      <c r="H7" s="837" t="s">
        <v>13</v>
      </c>
      <c r="I7" s="837"/>
      <c r="J7" s="837"/>
      <c r="K7" s="837"/>
      <c r="L7" s="837"/>
      <c r="M7" s="837"/>
      <c r="N7" s="837"/>
      <c r="O7" s="837"/>
      <c r="P7" s="356"/>
      <c r="Q7" s="820" t="s">
        <v>55</v>
      </c>
      <c r="R7" s="820" t="s">
        <v>15</v>
      </c>
      <c r="S7" s="822" t="s">
        <v>16</v>
      </c>
      <c r="T7" s="824" t="s">
        <v>56</v>
      </c>
      <c r="U7" s="826" t="s">
        <v>19</v>
      </c>
      <c r="V7" s="827"/>
      <c r="W7" s="827"/>
      <c r="X7" s="827"/>
      <c r="Y7" s="827"/>
      <c r="Z7" s="827"/>
      <c r="AA7" s="827"/>
      <c r="AB7" s="827"/>
      <c r="AC7" s="828"/>
      <c r="AD7" s="843" t="s">
        <v>20</v>
      </c>
      <c r="AE7" s="828"/>
      <c r="AF7" s="822" t="s">
        <v>21</v>
      </c>
      <c r="AG7" s="844"/>
      <c r="AH7" s="820" t="s">
        <v>22</v>
      </c>
      <c r="AI7" s="845" t="s">
        <v>23</v>
      </c>
      <c r="AJ7" s="827"/>
      <c r="AK7" s="828"/>
      <c r="AL7" s="830" t="s">
        <v>43</v>
      </c>
      <c r="AM7" s="838" t="s">
        <v>24</v>
      </c>
    </row>
    <row r="8" spans="1:40" ht="14.25" customHeight="1">
      <c r="B8" s="818"/>
      <c r="C8" s="818"/>
      <c r="D8" s="818"/>
      <c r="E8" s="818"/>
      <c r="F8" s="357" t="s">
        <v>11</v>
      </c>
      <c r="G8" s="357" t="s">
        <v>12</v>
      </c>
      <c r="H8" s="358" t="s">
        <v>25</v>
      </c>
      <c r="I8" s="358" t="s">
        <v>26</v>
      </c>
      <c r="J8" s="358" t="s">
        <v>27</v>
      </c>
      <c r="K8" s="358" t="s">
        <v>28</v>
      </c>
      <c r="L8" s="358" t="s">
        <v>130</v>
      </c>
      <c r="M8" s="358" t="s">
        <v>134</v>
      </c>
      <c r="N8" s="358" t="s">
        <v>135</v>
      </c>
      <c r="O8" s="358" t="s">
        <v>134</v>
      </c>
      <c r="P8" s="359" t="s">
        <v>30</v>
      </c>
      <c r="Q8" s="821"/>
      <c r="R8" s="821"/>
      <c r="S8" s="823"/>
      <c r="T8" s="825"/>
      <c r="U8" s="846" t="s">
        <v>31</v>
      </c>
      <c r="V8" s="847"/>
      <c r="W8" s="848" t="s">
        <v>32</v>
      </c>
      <c r="X8" s="847"/>
      <c r="Y8" s="811" t="s">
        <v>33</v>
      </c>
      <c r="Z8" s="811" t="s">
        <v>34</v>
      </c>
      <c r="AA8" s="811" t="s">
        <v>35</v>
      </c>
      <c r="AB8" s="811" t="s">
        <v>39</v>
      </c>
      <c r="AC8" s="813" t="s">
        <v>36</v>
      </c>
      <c r="AD8" s="841" t="s">
        <v>37</v>
      </c>
      <c r="AE8" s="811" t="s">
        <v>38</v>
      </c>
      <c r="AF8" s="811" t="s">
        <v>39</v>
      </c>
      <c r="AG8" s="811" t="s">
        <v>40</v>
      </c>
      <c r="AH8" s="821"/>
      <c r="AI8" s="833" t="s">
        <v>41</v>
      </c>
      <c r="AJ8" s="835" t="s">
        <v>42</v>
      </c>
      <c r="AK8" s="836"/>
      <c r="AL8" s="831"/>
      <c r="AM8" s="839"/>
    </row>
    <row r="9" spans="1:40" ht="15" customHeight="1" thickBot="1">
      <c r="P9" s="360"/>
      <c r="Q9" s="821"/>
      <c r="R9" s="821"/>
      <c r="S9" s="823"/>
      <c r="T9" s="825"/>
      <c r="U9" s="361" t="s">
        <v>44</v>
      </c>
      <c r="V9" s="362" t="s">
        <v>45</v>
      </c>
      <c r="W9" s="362" t="s">
        <v>46</v>
      </c>
      <c r="X9" s="362" t="s">
        <v>47</v>
      </c>
      <c r="Y9" s="812"/>
      <c r="Z9" s="812"/>
      <c r="AA9" s="812"/>
      <c r="AB9" s="829"/>
      <c r="AC9" s="814"/>
      <c r="AD9" s="842"/>
      <c r="AE9" s="812"/>
      <c r="AF9" s="812"/>
      <c r="AG9" s="812"/>
      <c r="AH9" s="812"/>
      <c r="AI9" s="834"/>
      <c r="AJ9" s="363"/>
      <c r="AK9" s="364" t="s">
        <v>48</v>
      </c>
      <c r="AL9" s="832"/>
      <c r="AM9" s="840"/>
    </row>
    <row r="10" spans="1:40" ht="15" customHeight="1">
      <c r="P10" s="360"/>
      <c r="Q10" s="514"/>
      <c r="R10" s="514"/>
      <c r="S10" s="515"/>
      <c r="T10" s="516"/>
      <c r="U10" s="517"/>
      <c r="V10" s="513"/>
      <c r="W10" s="513"/>
      <c r="X10" s="513"/>
      <c r="Y10" s="514"/>
      <c r="Z10" s="514"/>
      <c r="AA10" s="514"/>
      <c r="AB10" s="543"/>
      <c r="AC10" s="515"/>
      <c r="AD10" s="518"/>
      <c r="AE10" s="514"/>
      <c r="AF10" s="514"/>
      <c r="AG10" s="514"/>
      <c r="AH10" s="514"/>
      <c r="AI10" s="518"/>
      <c r="AJ10" s="360"/>
      <c r="AK10" s="520"/>
      <c r="AL10" s="519"/>
      <c r="AM10" s="515"/>
    </row>
    <row r="11" spans="1:40" ht="14.4">
      <c r="A11" s="415" t="s">
        <v>143</v>
      </c>
      <c r="B11" s="354">
        <v>2</v>
      </c>
      <c r="C11" s="354" t="s">
        <v>76</v>
      </c>
      <c r="D11" s="354" t="s">
        <v>58</v>
      </c>
      <c r="E11" s="354">
        <v>13000</v>
      </c>
      <c r="F11" s="354">
        <f>ROUNDDOWN((E11/G4),)</f>
        <v>419</v>
      </c>
      <c r="G11" s="354">
        <f>ROUNDDOWN((E11/G4/9),)</f>
        <v>46</v>
      </c>
      <c r="H11" s="354">
        <v>29</v>
      </c>
      <c r="I11" s="354">
        <v>0</v>
      </c>
      <c r="J11" s="354">
        <f>4-1</f>
        <v>3</v>
      </c>
      <c r="K11" s="354">
        <v>0</v>
      </c>
      <c r="L11" s="354"/>
      <c r="M11" s="354"/>
      <c r="N11" s="354"/>
      <c r="O11" s="354"/>
      <c r="P11" s="354">
        <f>SUM(H11:K11)-L11+N11</f>
        <v>32</v>
      </c>
      <c r="Q11" s="354">
        <v>0</v>
      </c>
      <c r="R11" s="365">
        <f>IF(P11=G4,E11,P11*F11)</f>
        <v>13408</v>
      </c>
      <c r="S11" s="355">
        <f>F11*Q11</f>
        <v>0</v>
      </c>
      <c r="T11" s="419">
        <f>+R11+S11</f>
        <v>13408</v>
      </c>
      <c r="U11" s="366" t="s">
        <v>51</v>
      </c>
      <c r="V11" s="367">
        <v>0</v>
      </c>
      <c r="W11" s="367">
        <v>0</v>
      </c>
      <c r="X11" s="365">
        <v>0</v>
      </c>
      <c r="Y11" s="365">
        <v>0</v>
      </c>
      <c r="Z11" s="365">
        <v>0</v>
      </c>
      <c r="AA11" s="365">
        <v>0</v>
      </c>
      <c r="AB11" s="544"/>
      <c r="AC11" s="367">
        <f>SUM(V11:AA11)</f>
        <v>0</v>
      </c>
      <c r="AD11" s="365">
        <v>0</v>
      </c>
      <c r="AE11" s="367">
        <f>AC11-AD11</f>
        <v>0</v>
      </c>
      <c r="AF11" s="365"/>
      <c r="AG11" s="367"/>
      <c r="AH11" s="211">
        <f>T11-AD11+AG11</f>
        <v>13408</v>
      </c>
      <c r="AI11" s="289"/>
      <c r="AJ11" s="365"/>
      <c r="AK11" s="365" t="s">
        <v>190</v>
      </c>
      <c r="AL11" s="416"/>
      <c r="AM11" s="365" t="s">
        <v>52</v>
      </c>
      <c r="AN11" s="415"/>
    </row>
    <row r="12" spans="1:40" ht="15" customHeight="1">
      <c r="P12" s="360"/>
      <c r="Q12" s="514"/>
      <c r="R12" s="514"/>
      <c r="S12" s="515"/>
      <c r="T12" s="516"/>
      <c r="U12" s="517"/>
      <c r="V12" s="513"/>
      <c r="W12" s="513"/>
      <c r="X12" s="513"/>
      <c r="Y12" s="514"/>
      <c r="Z12" s="514"/>
      <c r="AA12" s="514"/>
      <c r="AB12" s="515"/>
      <c r="AC12" s="515"/>
      <c r="AD12" s="518"/>
      <c r="AE12" s="514"/>
      <c r="AF12" s="514"/>
      <c r="AG12" s="514"/>
      <c r="AH12" s="514"/>
      <c r="AI12" s="518"/>
      <c r="AJ12" s="360"/>
      <c r="AK12" s="520"/>
      <c r="AL12" s="519"/>
      <c r="AM12" s="515"/>
    </row>
    <row r="13" spans="1:40" ht="15" customHeight="1">
      <c r="A13" s="415" t="s">
        <v>168</v>
      </c>
      <c r="B13" s="354">
        <v>3</v>
      </c>
      <c r="C13" s="354" t="s">
        <v>167</v>
      </c>
      <c r="D13" s="354" t="s">
        <v>50</v>
      </c>
      <c r="E13" s="354">
        <v>11000</v>
      </c>
      <c r="F13" s="354">
        <f>ROUNDDOWN((E13/G4),)</f>
        <v>354</v>
      </c>
      <c r="G13" s="354">
        <f>ROUNDDOWN((E13/G4/9),)</f>
        <v>39</v>
      </c>
      <c r="H13" s="354">
        <v>21</v>
      </c>
      <c r="I13" s="354">
        <v>3</v>
      </c>
      <c r="J13" s="354">
        <v>0</v>
      </c>
      <c r="K13" s="354">
        <v>0</v>
      </c>
      <c r="L13" s="354"/>
      <c r="M13" s="354"/>
      <c r="N13" s="354"/>
      <c r="O13" s="354"/>
      <c r="P13" s="354">
        <f>SUM(H13:K13)-L13+N13</f>
        <v>24</v>
      </c>
      <c r="Q13" s="354">
        <v>0</v>
      </c>
      <c r="R13" s="365">
        <f>IF(P13=G4,E13,P13*F13)</f>
        <v>8496</v>
      </c>
      <c r="S13" s="355">
        <f>F13*Q13</f>
        <v>0</v>
      </c>
      <c r="T13" s="419">
        <f>+R13+S13</f>
        <v>8496</v>
      </c>
      <c r="U13" s="366" t="s">
        <v>51</v>
      </c>
      <c r="V13" s="367">
        <v>0</v>
      </c>
      <c r="W13" s="367">
        <v>0</v>
      </c>
      <c r="X13" s="365">
        <v>0</v>
      </c>
      <c r="Y13" s="365">
        <v>0</v>
      </c>
      <c r="Z13" s="365">
        <v>0</v>
      </c>
      <c r="AA13" s="365">
        <v>0</v>
      </c>
      <c r="AB13" s="365"/>
      <c r="AC13" s="367">
        <f>SUM(V13:AA13)</f>
        <v>0</v>
      </c>
      <c r="AD13" s="365">
        <v>0</v>
      </c>
      <c r="AE13" s="367">
        <f>AC13-AD13</f>
        <v>0</v>
      </c>
      <c r="AF13" s="365"/>
      <c r="AG13" s="367"/>
      <c r="AH13" s="211">
        <f>T13-AD13+AG13</f>
        <v>8496</v>
      </c>
      <c r="AI13" s="289"/>
      <c r="AJ13" s="365"/>
      <c r="AK13" s="365" t="s">
        <v>192</v>
      </c>
      <c r="AL13" s="416"/>
      <c r="AM13" s="365" t="s">
        <v>52</v>
      </c>
      <c r="AN13" s="415"/>
    </row>
    <row r="14" spans="1:40" ht="15" customHeight="1">
      <c r="P14" s="360"/>
      <c r="Q14" s="514"/>
      <c r="R14" s="514"/>
      <c r="S14" s="515"/>
      <c r="T14" s="516"/>
      <c r="U14" s="517"/>
      <c r="V14" s="513"/>
      <c r="W14" s="513"/>
      <c r="X14" s="513"/>
      <c r="Y14" s="514"/>
      <c r="Z14" s="514"/>
      <c r="AA14" s="514"/>
      <c r="AB14" s="515"/>
      <c r="AC14" s="515"/>
      <c r="AD14" s="518"/>
      <c r="AE14" s="514"/>
      <c r="AF14" s="514"/>
      <c r="AG14" s="514"/>
      <c r="AH14" s="514"/>
      <c r="AI14" s="518"/>
      <c r="AJ14" s="360"/>
      <c r="AK14" s="520"/>
      <c r="AL14" s="519"/>
      <c r="AM14" s="515"/>
    </row>
    <row r="15" spans="1:40" ht="15" customHeight="1">
      <c r="A15" s="415" t="s">
        <v>145</v>
      </c>
      <c r="B15" s="354">
        <v>3</v>
      </c>
      <c r="C15" s="354" t="s">
        <v>78</v>
      </c>
      <c r="D15" s="354" t="s">
        <v>50</v>
      </c>
      <c r="E15" s="354">
        <v>11000</v>
      </c>
      <c r="F15" s="354">
        <f>ROUNDDOWN((E15/G4),)</f>
        <v>354</v>
      </c>
      <c r="G15" s="354">
        <f>ROUNDDOWN((E15/G4/9),)</f>
        <v>39</v>
      </c>
      <c r="H15" s="354">
        <v>25</v>
      </c>
      <c r="I15" s="354">
        <v>0</v>
      </c>
      <c r="J15" s="354">
        <v>3</v>
      </c>
      <c r="K15" s="354">
        <v>0</v>
      </c>
      <c r="L15" s="354"/>
      <c r="M15" s="354"/>
      <c r="N15" s="354"/>
      <c r="O15" s="354"/>
      <c r="P15" s="354">
        <f>SUM(H15:K15)-L15+N15</f>
        <v>28</v>
      </c>
      <c r="Q15" s="354">
        <v>0</v>
      </c>
      <c r="R15" s="365">
        <f>IF(P15=G4,E15,P15*F15)</f>
        <v>9912</v>
      </c>
      <c r="S15" s="355">
        <f>F15*Q15</f>
        <v>0</v>
      </c>
      <c r="T15" s="419">
        <f>+R15+S15</f>
        <v>9912</v>
      </c>
      <c r="U15" s="366" t="s">
        <v>51</v>
      </c>
      <c r="V15" s="367">
        <v>0</v>
      </c>
      <c r="W15" s="367">
        <v>0</v>
      </c>
      <c r="X15" s="365">
        <v>0</v>
      </c>
      <c r="Y15" s="365">
        <v>0</v>
      </c>
      <c r="Z15" s="365">
        <v>0</v>
      </c>
      <c r="AA15" s="365">
        <v>0</v>
      </c>
      <c r="AB15" s="365"/>
      <c r="AC15" s="367">
        <f>SUM(V15:AA15)</f>
        <v>0</v>
      </c>
      <c r="AD15" s="365">
        <v>0</v>
      </c>
      <c r="AE15" s="367">
        <f>AC15-AD15</f>
        <v>0</v>
      </c>
      <c r="AF15" s="365"/>
      <c r="AG15" s="367"/>
      <c r="AH15" s="211">
        <f>T15-AD15+AG15</f>
        <v>9912</v>
      </c>
      <c r="AI15" s="289"/>
      <c r="AJ15" s="365"/>
      <c r="AK15" s="365" t="s">
        <v>191</v>
      </c>
      <c r="AL15" s="416"/>
      <c r="AM15" s="365" t="s">
        <v>52</v>
      </c>
      <c r="AN15" s="415"/>
    </row>
    <row r="16" spans="1:40" ht="15" customHeight="1">
      <c r="P16" s="360"/>
      <c r="Q16" s="514"/>
      <c r="R16" s="514"/>
      <c r="S16" s="515"/>
      <c r="T16" s="516"/>
      <c r="U16" s="517"/>
      <c r="V16" s="513"/>
      <c r="W16" s="513"/>
      <c r="X16" s="513"/>
      <c r="Y16" s="514"/>
      <c r="Z16" s="514"/>
      <c r="AA16" s="514"/>
      <c r="AB16" s="515"/>
      <c r="AC16" s="515"/>
      <c r="AD16" s="518"/>
      <c r="AE16" s="514"/>
      <c r="AF16" s="514"/>
      <c r="AG16" s="514"/>
      <c r="AH16" s="514"/>
      <c r="AI16" s="518"/>
      <c r="AJ16" s="360"/>
      <c r="AK16" s="520"/>
      <c r="AL16" s="519"/>
      <c r="AM16" s="515"/>
    </row>
    <row r="17" spans="1:40" ht="14.4">
      <c r="A17" s="415" t="s">
        <v>144</v>
      </c>
      <c r="B17" s="354">
        <v>8</v>
      </c>
      <c r="C17" s="354" t="s">
        <v>159</v>
      </c>
      <c r="D17" s="354" t="s">
        <v>50</v>
      </c>
      <c r="E17" s="354">
        <v>11000</v>
      </c>
      <c r="F17" s="354">
        <f>ROUNDDOWN((E17/G4),)</f>
        <v>354</v>
      </c>
      <c r="G17" s="354">
        <f>ROUNDDOWN((E17/G4/9),)</f>
        <v>39</v>
      </c>
      <c r="H17" s="354">
        <v>22</v>
      </c>
      <c r="I17" s="354">
        <v>2</v>
      </c>
      <c r="J17" s="354">
        <f>1-0.5</f>
        <v>0.5</v>
      </c>
      <c r="K17" s="354">
        <v>0</v>
      </c>
      <c r="L17" s="354"/>
      <c r="M17" s="354"/>
      <c r="N17" s="354"/>
      <c r="O17" s="354"/>
      <c r="P17" s="354">
        <f>SUM(H17:K17)-L17+N17</f>
        <v>24.5</v>
      </c>
      <c r="Q17" s="354">
        <v>0</v>
      </c>
      <c r="R17" s="365">
        <f>IF(P17=G8,E17,P17*F17)</f>
        <v>8673</v>
      </c>
      <c r="S17" s="355">
        <f>F17*Q17</f>
        <v>0</v>
      </c>
      <c r="T17" s="419">
        <f>+R17+S17</f>
        <v>8673</v>
      </c>
      <c r="U17" s="366" t="s">
        <v>51</v>
      </c>
      <c r="V17" s="367">
        <v>0</v>
      </c>
      <c r="W17" s="367">
        <v>0</v>
      </c>
      <c r="X17" s="365">
        <v>0</v>
      </c>
      <c r="Y17" s="365">
        <v>0</v>
      </c>
      <c r="Z17" s="365">
        <v>0</v>
      </c>
      <c r="AA17" s="365">
        <v>0</v>
      </c>
      <c r="AB17" s="365"/>
      <c r="AC17" s="367">
        <f>SUM(V17:AA17)</f>
        <v>0</v>
      </c>
      <c r="AD17" s="365"/>
      <c r="AE17" s="367">
        <f>AC17-AD17</f>
        <v>0</v>
      </c>
      <c r="AF17" s="365"/>
      <c r="AG17" s="367"/>
      <c r="AH17" s="210">
        <f>(T17-AD17+AG17 )</f>
        <v>8673</v>
      </c>
      <c r="AI17" s="289"/>
      <c r="AJ17" s="370"/>
      <c r="AK17" s="365" t="s">
        <v>189</v>
      </c>
      <c r="AL17" s="416"/>
      <c r="AM17" s="365" t="s">
        <v>52</v>
      </c>
      <c r="AN17" s="415"/>
    </row>
    <row r="18" spans="1:40" ht="15" customHeight="1">
      <c r="P18" s="360"/>
      <c r="Q18" s="514"/>
      <c r="R18" s="514"/>
      <c r="S18" s="515"/>
      <c r="T18" s="516"/>
      <c r="U18" s="517"/>
      <c r="V18" s="513"/>
      <c r="W18" s="513"/>
      <c r="X18" s="513"/>
      <c r="Y18" s="514"/>
      <c r="Z18" s="514"/>
      <c r="AA18" s="514"/>
      <c r="AB18" s="515"/>
      <c r="AC18" s="515"/>
      <c r="AD18" s="518"/>
      <c r="AE18" s="514"/>
      <c r="AF18" s="514"/>
      <c r="AG18" s="514"/>
      <c r="AH18" s="514"/>
      <c r="AI18" s="518"/>
      <c r="AJ18" s="360"/>
      <c r="AK18" s="520"/>
      <c r="AL18" s="519"/>
      <c r="AM18" s="515"/>
    </row>
    <row r="19" spans="1:40" ht="14.4">
      <c r="A19" s="447" t="s">
        <v>144</v>
      </c>
      <c r="B19" s="354">
        <v>8</v>
      </c>
      <c r="C19" s="354" t="s">
        <v>158</v>
      </c>
      <c r="D19" s="354" t="s">
        <v>50</v>
      </c>
      <c r="E19" s="354">
        <v>11000</v>
      </c>
      <c r="F19" s="354">
        <f>ROUNDDOWN((E19/G4),)</f>
        <v>354</v>
      </c>
      <c r="G19" s="354">
        <f>ROUNDDOWN((E19/G4/9),)</f>
        <v>39</v>
      </c>
      <c r="H19" s="354">
        <v>25</v>
      </c>
      <c r="I19" s="354">
        <v>2</v>
      </c>
      <c r="J19" s="354">
        <v>2</v>
      </c>
      <c r="K19" s="354">
        <v>0</v>
      </c>
      <c r="L19" s="354"/>
      <c r="M19" s="354"/>
      <c r="N19" s="354"/>
      <c r="O19" s="354"/>
      <c r="P19" s="354">
        <f>SUM(H19:K19)-L19+N19</f>
        <v>29</v>
      </c>
      <c r="Q19" s="354">
        <v>0</v>
      </c>
      <c r="R19" s="365">
        <f>IF(P19=G4,E19,P19*F19)</f>
        <v>10266</v>
      </c>
      <c r="S19" s="355">
        <f>F19*Q19</f>
        <v>0</v>
      </c>
      <c r="T19" s="419">
        <f>+R19+S19</f>
        <v>10266</v>
      </c>
      <c r="U19" s="366" t="s">
        <v>51</v>
      </c>
      <c r="V19" s="367">
        <v>0</v>
      </c>
      <c r="W19" s="367">
        <v>0</v>
      </c>
      <c r="X19" s="365">
        <v>0</v>
      </c>
      <c r="Y19" s="365">
        <v>0</v>
      </c>
      <c r="Z19" s="365">
        <v>0</v>
      </c>
      <c r="AA19" s="365">
        <v>0</v>
      </c>
      <c r="AB19" s="365"/>
      <c r="AC19" s="367">
        <f>SUM(V19:AA19)</f>
        <v>0</v>
      </c>
      <c r="AD19" s="365">
        <v>0</v>
      </c>
      <c r="AE19" s="367">
        <f>AC19-AD19</f>
        <v>0</v>
      </c>
      <c r="AF19" s="365"/>
      <c r="AG19" s="367"/>
      <c r="AH19" s="210">
        <f>(T19-AD19+AG19 )</f>
        <v>10266</v>
      </c>
      <c r="AI19" s="289"/>
      <c r="AJ19" s="370"/>
      <c r="AK19" s="365" t="s">
        <v>189</v>
      </c>
      <c r="AL19" s="416"/>
      <c r="AM19" s="365" t="s">
        <v>52</v>
      </c>
      <c r="AN19" s="415"/>
    </row>
    <row r="20" spans="1:40" ht="15" customHeight="1">
      <c r="P20" s="360"/>
      <c r="Q20" s="514"/>
      <c r="R20" s="514"/>
      <c r="S20" s="515"/>
      <c r="T20" s="516"/>
      <c r="U20" s="517"/>
      <c r="V20" s="513"/>
      <c r="W20" s="513"/>
      <c r="X20" s="513"/>
      <c r="Y20" s="514"/>
      <c r="Z20" s="514"/>
      <c r="AA20" s="514"/>
      <c r="AB20" s="515"/>
      <c r="AC20" s="515"/>
      <c r="AD20" s="518"/>
      <c r="AE20" s="514"/>
      <c r="AF20" s="514"/>
      <c r="AG20" s="514"/>
      <c r="AH20" s="514"/>
      <c r="AI20" s="518"/>
      <c r="AJ20" s="360"/>
      <c r="AK20" s="520"/>
      <c r="AL20" s="519"/>
      <c r="AM20" s="515"/>
    </row>
    <row r="21" spans="1:40" ht="14.4">
      <c r="A21" s="415" t="s">
        <v>147</v>
      </c>
      <c r="B21" s="354">
        <v>8</v>
      </c>
      <c r="C21" s="354" t="s">
        <v>80</v>
      </c>
      <c r="D21" s="354" t="s">
        <v>50</v>
      </c>
      <c r="E21" s="354">
        <v>11000</v>
      </c>
      <c r="F21" s="354">
        <f>ROUNDDOWN((E21/G4),)</f>
        <v>354</v>
      </c>
      <c r="G21" s="354">
        <f>ROUNDDOWN((E21/G4/9),)</f>
        <v>39</v>
      </c>
      <c r="H21" s="354">
        <v>22</v>
      </c>
      <c r="I21" s="354">
        <v>1</v>
      </c>
      <c r="J21" s="354">
        <v>2</v>
      </c>
      <c r="K21" s="354">
        <v>0</v>
      </c>
      <c r="L21" s="354"/>
      <c r="M21" s="354"/>
      <c r="N21" s="354"/>
      <c r="O21" s="354"/>
      <c r="P21" s="354">
        <f>SUM(H21:K21)-L21+N21</f>
        <v>25</v>
      </c>
      <c r="Q21" s="354">
        <v>0</v>
      </c>
      <c r="R21" s="365">
        <f>IF(P21=G4,E21,P21*F21)</f>
        <v>8850</v>
      </c>
      <c r="S21" s="355">
        <f>F21*Q21</f>
        <v>0</v>
      </c>
      <c r="T21" s="419">
        <f>+R21+S21</f>
        <v>8850</v>
      </c>
      <c r="U21" s="366" t="s">
        <v>51</v>
      </c>
      <c r="V21" s="367">
        <v>0</v>
      </c>
      <c r="W21" s="367">
        <v>0</v>
      </c>
      <c r="X21" s="365">
        <v>0</v>
      </c>
      <c r="Y21" s="365">
        <v>0</v>
      </c>
      <c r="Z21" s="365">
        <v>0</v>
      </c>
      <c r="AA21" s="365">
        <v>0</v>
      </c>
      <c r="AB21" s="365"/>
      <c r="AC21" s="367">
        <f>SUM(V21:AA21)</f>
        <v>0</v>
      </c>
      <c r="AD21" s="365">
        <v>0</v>
      </c>
      <c r="AE21" s="367">
        <f>AC21-AD21</f>
        <v>0</v>
      </c>
      <c r="AF21" s="365"/>
      <c r="AG21" s="367"/>
      <c r="AH21" s="210">
        <f>(T21-AD21+AG21 )</f>
        <v>8850</v>
      </c>
      <c r="AI21" s="289"/>
      <c r="AJ21" s="370"/>
      <c r="AK21" s="365" t="s">
        <v>194</v>
      </c>
      <c r="AL21" s="416"/>
      <c r="AM21" s="365" t="s">
        <v>52</v>
      </c>
      <c r="AN21" s="415"/>
    </row>
    <row r="22" spans="1:40" ht="14.4">
      <c r="A22" s="415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65"/>
      <c r="S22" s="355"/>
      <c r="T22" s="539"/>
      <c r="U22" s="366"/>
      <c r="V22" s="367"/>
      <c r="W22" s="367"/>
      <c r="X22" s="365"/>
      <c r="Y22" s="365"/>
      <c r="Z22" s="365"/>
      <c r="AA22" s="365"/>
      <c r="AB22" s="365"/>
      <c r="AC22" s="367"/>
      <c r="AD22" s="365"/>
      <c r="AE22" s="367"/>
      <c r="AF22" s="365"/>
      <c r="AG22" s="367"/>
      <c r="AH22" s="540"/>
      <c r="AI22" s="289"/>
      <c r="AJ22" s="370"/>
      <c r="AK22" s="365"/>
      <c r="AL22" s="416"/>
      <c r="AM22" s="365"/>
      <c r="AN22" s="415"/>
    </row>
    <row r="23" spans="1:40" ht="14.4">
      <c r="A23" s="447" t="s">
        <v>144</v>
      </c>
      <c r="B23" s="354">
        <v>1</v>
      </c>
      <c r="C23" s="354" t="s">
        <v>75</v>
      </c>
      <c r="D23" s="354" t="s">
        <v>50</v>
      </c>
      <c r="E23" s="354">
        <v>11000</v>
      </c>
      <c r="F23" s="354">
        <f>ROUNDDOWN((E23/G4),)</f>
        <v>354</v>
      </c>
      <c r="G23" s="354">
        <f>ROUNDDOWN((E23/G4/9),)</f>
        <v>39</v>
      </c>
      <c r="H23" s="354">
        <v>24</v>
      </c>
      <c r="I23" s="354">
        <v>0</v>
      </c>
      <c r="J23" s="354">
        <v>4</v>
      </c>
      <c r="K23" s="354">
        <v>0</v>
      </c>
      <c r="L23" s="354"/>
      <c r="M23" s="354"/>
      <c r="N23" s="354"/>
      <c r="O23" s="354"/>
      <c r="P23" s="354">
        <f>SUM(H23:K23)-L23+N23</f>
        <v>28</v>
      </c>
      <c r="Q23" s="354">
        <v>0</v>
      </c>
      <c r="R23" s="365">
        <f>IF(P23=G4,E23,P23*F23)</f>
        <v>9912</v>
      </c>
      <c r="S23" s="355">
        <f>F23*Q23</f>
        <v>0</v>
      </c>
      <c r="T23" s="419">
        <f>+R23+S23</f>
        <v>9912</v>
      </c>
      <c r="U23" s="366" t="s">
        <v>51</v>
      </c>
      <c r="V23" s="367">
        <v>0</v>
      </c>
      <c r="W23" s="367">
        <v>0</v>
      </c>
      <c r="X23" s="365">
        <v>0</v>
      </c>
      <c r="Y23" s="365">
        <v>0</v>
      </c>
      <c r="Z23" s="365">
        <v>0</v>
      </c>
      <c r="AA23" s="365">
        <v>0</v>
      </c>
      <c r="AB23" s="365"/>
      <c r="AC23" s="367">
        <f>SUM(V23:AA23)</f>
        <v>0</v>
      </c>
      <c r="AD23" s="365">
        <v>0</v>
      </c>
      <c r="AE23" s="367">
        <f>AC23-AD23</f>
        <v>0</v>
      </c>
      <c r="AF23" s="365"/>
      <c r="AG23" s="367"/>
      <c r="AH23" s="211">
        <f>T23-AD23+AG23</f>
        <v>9912</v>
      </c>
      <c r="AI23" s="289"/>
      <c r="AJ23" s="365"/>
      <c r="AK23" s="365" t="s">
        <v>189</v>
      </c>
      <c r="AL23" s="416"/>
      <c r="AM23" s="365" t="s">
        <v>52</v>
      </c>
      <c r="AN23" s="415"/>
    </row>
    <row r="24" spans="1:40" ht="15" customHeight="1">
      <c r="A24" s="415"/>
      <c r="B24" s="541"/>
      <c r="C24" s="354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65"/>
      <c r="S24" s="355"/>
      <c r="T24" s="539"/>
      <c r="U24" s="366"/>
      <c r="V24" s="367"/>
      <c r="W24" s="367"/>
      <c r="X24" s="365"/>
      <c r="Y24" s="365"/>
      <c r="Z24" s="365"/>
      <c r="AA24" s="365"/>
      <c r="AB24" s="365"/>
      <c r="AC24" s="367"/>
      <c r="AD24" s="365"/>
      <c r="AE24" s="367"/>
      <c r="AF24" s="365"/>
      <c r="AG24" s="367"/>
      <c r="AH24" s="367"/>
      <c r="AI24" s="542"/>
      <c r="AJ24" s="365"/>
      <c r="AK24" s="365"/>
      <c r="AL24" s="416"/>
      <c r="AM24" s="365"/>
      <c r="AN24" s="415"/>
    </row>
    <row r="25" spans="1:40" ht="14.25" customHeight="1">
      <c r="A25" s="415" t="s">
        <v>146</v>
      </c>
      <c r="B25" s="369"/>
      <c r="C25" s="354" t="s">
        <v>79</v>
      </c>
      <c r="D25" s="354" t="s">
        <v>50</v>
      </c>
      <c r="E25" s="354">
        <v>11000</v>
      </c>
      <c r="F25" s="354">
        <f>ROUNDDOWN((E25/G4),)</f>
        <v>354</v>
      </c>
      <c r="G25" s="354">
        <f>ROUNDDOWN((E25/G4/9),)</f>
        <v>39</v>
      </c>
      <c r="H25" s="354">
        <v>25</v>
      </c>
      <c r="I25" s="354">
        <v>1</v>
      </c>
      <c r="J25" s="354">
        <v>3</v>
      </c>
      <c r="K25" s="354">
        <v>0</v>
      </c>
      <c r="L25" s="354"/>
      <c r="M25" s="354"/>
      <c r="N25" s="354"/>
      <c r="O25" s="354"/>
      <c r="P25" s="354">
        <f>SUM(H25:K25)-L25+N25</f>
        <v>29</v>
      </c>
      <c r="Q25" s="354">
        <v>0</v>
      </c>
      <c r="R25" s="365">
        <f>IF(P25=G4,E25,P25*F25)</f>
        <v>10266</v>
      </c>
      <c r="S25" s="355">
        <f>F25*Q25</f>
        <v>0</v>
      </c>
      <c r="T25" s="419">
        <f>+R25+S25</f>
        <v>10266</v>
      </c>
      <c r="U25" s="366" t="s">
        <v>51</v>
      </c>
      <c r="V25" s="367">
        <v>0</v>
      </c>
      <c r="W25" s="367">
        <v>0</v>
      </c>
      <c r="X25" s="365">
        <v>0</v>
      </c>
      <c r="Y25" s="365">
        <v>0</v>
      </c>
      <c r="Z25" s="365">
        <v>0</v>
      </c>
      <c r="AA25" s="365">
        <v>0</v>
      </c>
      <c r="AB25" s="365"/>
      <c r="AC25" s="367">
        <f>SUM(V25:AA25)</f>
        <v>0</v>
      </c>
      <c r="AD25" s="365"/>
      <c r="AE25" s="367">
        <f>AC25-AD25</f>
        <v>0</v>
      </c>
      <c r="AF25" s="365"/>
      <c r="AG25" s="367"/>
      <c r="AH25" s="211">
        <f>T25-AD25+AG25</f>
        <v>10266</v>
      </c>
      <c r="AI25" s="289"/>
      <c r="AJ25" s="365"/>
      <c r="AK25" s="365" t="s">
        <v>193</v>
      </c>
      <c r="AL25" s="416"/>
      <c r="AM25" s="365" t="s">
        <v>52</v>
      </c>
      <c r="AN25" s="415"/>
    </row>
    <row r="27" spans="1:40" ht="14.4">
      <c r="A27" s="415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2"/>
      <c r="S27" s="371"/>
      <c r="T27" s="415"/>
      <c r="U27" s="373"/>
      <c r="V27" s="374"/>
      <c r="W27" s="374"/>
      <c r="X27" s="372"/>
      <c r="Y27" s="372"/>
      <c r="Z27" s="372"/>
      <c r="AA27" s="372"/>
      <c r="AB27" s="372"/>
      <c r="AC27" s="374"/>
      <c r="AD27" s="372"/>
      <c r="AE27" s="374"/>
      <c r="AF27" s="372"/>
      <c r="AG27" s="374"/>
      <c r="AH27" s="374">
        <f>AH19+AH17</f>
        <v>18939</v>
      </c>
      <c r="AI27" s="368"/>
      <c r="AJ27" s="372"/>
      <c r="AK27" s="372"/>
      <c r="AL27" s="417"/>
      <c r="AM27" s="372"/>
      <c r="AN27" s="415"/>
    </row>
    <row r="28" spans="1:40" ht="14.4">
      <c r="A28" s="415"/>
      <c r="B28" s="371"/>
      <c r="C28" s="371"/>
      <c r="D28" s="371"/>
      <c r="E28" s="371"/>
      <c r="F28" s="371"/>
      <c r="G28" s="371"/>
      <c r="H28" s="371"/>
      <c r="I28" s="371"/>
      <c r="J28" s="371" t="s">
        <v>60</v>
      </c>
      <c r="K28" s="371"/>
      <c r="L28" s="371"/>
      <c r="M28" s="371"/>
      <c r="N28" s="371"/>
      <c r="O28" s="371"/>
      <c r="P28" s="371"/>
      <c r="Q28" s="371"/>
      <c r="R28" s="372"/>
      <c r="S28" s="371"/>
      <c r="T28" s="415"/>
      <c r="U28" s="373"/>
      <c r="V28" s="374"/>
      <c r="W28" s="374"/>
      <c r="X28" s="372"/>
      <c r="Y28" s="372"/>
      <c r="Z28" s="372"/>
      <c r="AA28" s="372"/>
      <c r="AB28" s="372"/>
      <c r="AC28" s="374"/>
      <c r="AD28" s="372"/>
      <c r="AE28" s="374"/>
      <c r="AF28" s="372"/>
      <c r="AG28" s="374"/>
      <c r="AH28" s="374"/>
      <c r="AI28" s="368"/>
      <c r="AJ28" s="372"/>
      <c r="AK28" s="372"/>
      <c r="AL28" s="417"/>
      <c r="AM28" s="372"/>
      <c r="AN28" s="415"/>
    </row>
    <row r="29" spans="1:40" ht="14.25" customHeight="1">
      <c r="A29" s="415"/>
      <c r="B29" s="415"/>
      <c r="C29" s="415"/>
      <c r="D29" s="415"/>
      <c r="E29" s="415"/>
      <c r="F29" s="415"/>
      <c r="G29" s="415"/>
      <c r="H29" s="415"/>
      <c r="I29" s="415"/>
      <c r="J29" s="415"/>
      <c r="K29" s="415"/>
      <c r="L29" s="415"/>
      <c r="M29" s="415"/>
      <c r="N29" s="415"/>
      <c r="O29" s="415"/>
      <c r="P29" s="415"/>
      <c r="Q29" s="415"/>
      <c r="R29" s="415"/>
      <c r="S29" s="415"/>
      <c r="T29" s="415">
        <f>SUM(T23:T26)</f>
        <v>20178</v>
      </c>
      <c r="U29" s="415"/>
      <c r="V29" s="415"/>
      <c r="W29" s="415"/>
      <c r="X29" s="415"/>
      <c r="Y29" s="415"/>
      <c r="Z29" s="415"/>
      <c r="AA29" s="415"/>
      <c r="AB29" s="415"/>
      <c r="AC29" s="415"/>
      <c r="AD29" s="415"/>
      <c r="AE29" s="415"/>
      <c r="AF29" s="415"/>
      <c r="AG29" s="415"/>
      <c r="AH29" s="418">
        <f>SUM(AH23:AH26)</f>
        <v>20178</v>
      </c>
      <c r="AI29" s="415"/>
      <c r="AJ29" s="415"/>
      <c r="AK29" s="415"/>
      <c r="AL29" s="415"/>
      <c r="AM29" s="415"/>
      <c r="AN29" s="415"/>
    </row>
    <row r="30" spans="1:40" ht="14.25" customHeight="1">
      <c r="A30" s="415"/>
      <c r="B30" s="415"/>
      <c r="C30" s="415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  <c r="AA30" s="415"/>
      <c r="AB30" s="415"/>
      <c r="AC30" s="415"/>
      <c r="AD30" s="415"/>
      <c r="AE30" s="415"/>
      <c r="AF30" s="415"/>
      <c r="AG30" s="415"/>
      <c r="AH30" s="415"/>
      <c r="AI30" s="415"/>
      <c r="AJ30" s="415"/>
      <c r="AK30" s="415"/>
      <c r="AL30" s="415"/>
      <c r="AM30" s="415"/>
      <c r="AN30" s="415"/>
    </row>
    <row r="31" spans="1:40" ht="14.25" customHeight="1">
      <c r="A31" s="415"/>
      <c r="B31" s="415"/>
      <c r="C31" s="415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  <c r="Z31" s="415"/>
      <c r="AA31" s="415"/>
      <c r="AB31" s="415"/>
      <c r="AC31" s="415">
        <v>13827</v>
      </c>
      <c r="AD31" s="415"/>
      <c r="AE31" s="415"/>
      <c r="AF31" s="415"/>
      <c r="AG31" s="415"/>
      <c r="AH31" s="415"/>
      <c r="AI31" s="415"/>
      <c r="AJ31" s="415"/>
      <c r="AK31" s="415"/>
      <c r="AL31" s="415"/>
      <c r="AM31" s="415"/>
      <c r="AN31" s="415"/>
    </row>
    <row r="32" spans="1:40" ht="14.25" customHeight="1">
      <c r="A32" s="415"/>
      <c r="B32" s="415"/>
      <c r="C32" s="415"/>
      <c r="D32" s="415"/>
      <c r="E32" s="415"/>
      <c r="F32" s="415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  <c r="Z32" s="415"/>
      <c r="AA32" s="415"/>
      <c r="AB32" s="415"/>
      <c r="AC32" s="415"/>
      <c r="AD32" s="415"/>
      <c r="AE32" s="415"/>
      <c r="AF32" s="415"/>
      <c r="AG32" s="415"/>
      <c r="AH32" s="415"/>
      <c r="AI32" s="415"/>
      <c r="AJ32" s="415"/>
      <c r="AK32" s="415"/>
      <c r="AL32" s="415"/>
      <c r="AM32" s="415"/>
      <c r="AN32" s="415"/>
    </row>
    <row r="33" spans="1:40" ht="14.25" customHeight="1">
      <c r="A33" s="415"/>
      <c r="B33" s="415"/>
      <c r="C33" s="415"/>
      <c r="D33" s="415"/>
      <c r="E33" s="415"/>
      <c r="F33" s="415"/>
      <c r="G33" s="415"/>
      <c r="H33" s="415"/>
      <c r="I33" s="415"/>
      <c r="J33" s="415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  <c r="Z33" s="415"/>
      <c r="AA33" s="415"/>
      <c r="AB33" s="415"/>
      <c r="AC33" s="415"/>
      <c r="AD33" s="415"/>
      <c r="AE33" s="415"/>
      <c r="AF33" s="415"/>
      <c r="AG33" s="415"/>
      <c r="AH33" s="415"/>
      <c r="AI33" s="415"/>
      <c r="AJ33" s="415"/>
      <c r="AK33" s="415"/>
      <c r="AL33" s="415"/>
      <c r="AM33" s="415"/>
      <c r="AN33" s="415"/>
    </row>
    <row r="34" spans="1:40" ht="14.25" customHeight="1">
      <c r="A34" s="415"/>
      <c r="B34" s="415"/>
      <c r="C34" s="415"/>
      <c r="D34" s="415"/>
      <c r="E34" s="415"/>
      <c r="F34" s="415"/>
      <c r="G34" s="415"/>
      <c r="H34" s="415"/>
      <c r="I34" s="415"/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  <c r="Z34" s="415"/>
      <c r="AA34" s="415"/>
      <c r="AB34" s="415"/>
      <c r="AC34" s="415"/>
      <c r="AD34" s="415"/>
      <c r="AE34" s="415"/>
      <c r="AF34" s="415"/>
      <c r="AG34" s="415"/>
      <c r="AH34" s="415"/>
      <c r="AI34" s="415"/>
      <c r="AJ34" s="415"/>
      <c r="AK34" s="415"/>
      <c r="AL34" s="415"/>
      <c r="AM34" s="415"/>
      <c r="AN34" s="415"/>
    </row>
    <row r="35" spans="1:40" ht="14.25" customHeight="1">
      <c r="A35" s="415"/>
      <c r="B35" s="415"/>
      <c r="C35" s="415"/>
      <c r="D35" s="415"/>
      <c r="E35" s="415"/>
      <c r="F35" s="415"/>
      <c r="G35" s="415"/>
      <c r="H35" s="415"/>
      <c r="I35" s="415"/>
      <c r="J35" s="415"/>
      <c r="K35" s="415"/>
      <c r="L35" s="415"/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  <c r="Z35" s="415"/>
      <c r="AA35" s="415"/>
      <c r="AB35" s="415"/>
      <c r="AC35" s="415"/>
      <c r="AD35" s="415"/>
      <c r="AE35" s="415"/>
      <c r="AF35" s="415"/>
      <c r="AG35" s="415"/>
      <c r="AH35" s="415"/>
      <c r="AI35" s="415"/>
      <c r="AJ35" s="415"/>
      <c r="AK35" s="415"/>
      <c r="AL35" s="415"/>
      <c r="AM35" s="415"/>
      <c r="AN35" s="415"/>
    </row>
    <row r="36" spans="1:40" ht="14.25" customHeight="1">
      <c r="A36" s="415"/>
      <c r="B36" s="415"/>
      <c r="C36" s="415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  <c r="Z36" s="415"/>
      <c r="AA36" s="415"/>
      <c r="AB36" s="415"/>
      <c r="AC36" s="415"/>
      <c r="AD36" s="415"/>
      <c r="AE36" s="415"/>
      <c r="AF36" s="415"/>
      <c r="AG36" s="415"/>
      <c r="AH36" s="415"/>
      <c r="AI36" s="415"/>
      <c r="AJ36" s="415"/>
      <c r="AK36" s="415"/>
      <c r="AL36" s="415"/>
      <c r="AM36" s="415"/>
      <c r="AN36" s="415"/>
    </row>
    <row r="37" spans="1:40" ht="14.25" customHeight="1"/>
    <row r="38" spans="1:40" ht="14.25" customHeight="1"/>
    <row r="39" spans="1:40" ht="14.25" customHeight="1"/>
    <row r="40" spans="1:40" ht="14.25" customHeight="1"/>
    <row r="41" spans="1:40" ht="14.25" customHeight="1"/>
    <row r="42" spans="1:40" ht="14.25" customHeight="1"/>
    <row r="43" spans="1:40" ht="14.25" customHeight="1"/>
    <row r="44" spans="1:40" ht="14.25" customHeight="1"/>
    <row r="45" spans="1:40" ht="14.25" customHeight="1"/>
    <row r="46" spans="1:40" ht="14.25" customHeight="1"/>
    <row r="47" spans="1:40" ht="14.25" customHeight="1"/>
    <row r="48" spans="1:4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0">
    <mergeCell ref="AL7:AL9"/>
    <mergeCell ref="AI8:AI9"/>
    <mergeCell ref="AJ8:AK8"/>
    <mergeCell ref="H7:O7"/>
    <mergeCell ref="AM7:AM9"/>
    <mergeCell ref="AD8:AD9"/>
    <mergeCell ref="AE8:AE9"/>
    <mergeCell ref="AF8:AF9"/>
    <mergeCell ref="AG8:AG9"/>
    <mergeCell ref="AD7:AE7"/>
    <mergeCell ref="AF7:AG7"/>
    <mergeCell ref="AH7:AH9"/>
    <mergeCell ref="AI7:AK7"/>
    <mergeCell ref="U8:V8"/>
    <mergeCell ref="W8:X8"/>
    <mergeCell ref="Y8:Y9"/>
    <mergeCell ref="Z8:Z9"/>
    <mergeCell ref="AA8:AA9"/>
    <mergeCell ref="AC8:AC9"/>
    <mergeCell ref="Y6:AC6"/>
    <mergeCell ref="B7:B8"/>
    <mergeCell ref="C7:C8"/>
    <mergeCell ref="D7:D8"/>
    <mergeCell ref="E7:E8"/>
    <mergeCell ref="Q7:Q9"/>
    <mergeCell ref="R7:R9"/>
    <mergeCell ref="S7:S9"/>
    <mergeCell ref="T7:T9"/>
    <mergeCell ref="U7:AC7"/>
    <mergeCell ref="AB8:AB9"/>
  </mergeCells>
  <dataValidations count="2">
    <dataValidation type="list" allowBlank="1" showErrorMessage="1" sqref="AM11 AM13 AM15 AM17 AM27:AM28 AM19 AM21:AM25" xr:uid="{E0C55805-638D-408F-9CA5-C32FEA98995B}">
      <formula1>"Working,Left"</formula1>
    </dataValidation>
    <dataValidation type="list" allowBlank="1" showErrorMessage="1" sqref="AJ11 AJ13 AJ15 AJ17 AJ27:AJ28 AJ19 AJ21:AJ25" xr:uid="{7CAEE7BF-5DC2-47C7-BF16-EE6A9D241671}">
      <formula1>"Own,Other"</formula1>
    </dataValidation>
  </dataValidations>
  <pageMargins left="0.7" right="0.7" top="0.75" bottom="0.75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8FC3-C2A1-4453-A0D4-3F8AC8657521}">
  <sheetPr>
    <tabColor rgb="FF00B0F0"/>
  </sheetPr>
  <dimension ref="A1:AN1002"/>
  <sheetViews>
    <sheetView topLeftCell="A5" zoomScale="85" zoomScaleNormal="85" workbookViewId="0">
      <selection activeCell="M31" sqref="M31"/>
    </sheetView>
  </sheetViews>
  <sheetFormatPr defaultColWidth="14.44140625" defaultRowHeight="15" customHeight="1"/>
  <cols>
    <col min="1" max="1" width="1.88671875" style="170" customWidth="1"/>
    <col min="2" max="2" width="4.88671875" style="170" customWidth="1"/>
    <col min="3" max="3" width="15" style="170" customWidth="1"/>
    <col min="4" max="4" width="13.44140625" style="170" customWidth="1"/>
    <col min="5" max="5" width="9.6640625" style="170" hidden="1" customWidth="1"/>
    <col min="6" max="6" width="7.5546875" style="170" customWidth="1"/>
    <col min="7" max="7" width="5.44140625" style="170" bestFit="1" customWidth="1"/>
    <col min="8" max="8" width="6.44140625" style="170" bestFit="1" customWidth="1"/>
    <col min="9" max="9" width="5.6640625" style="170" bestFit="1" customWidth="1"/>
    <col min="10" max="10" width="3.88671875" style="170" customWidth="1"/>
    <col min="11" max="11" width="4.6640625" style="170" customWidth="1"/>
    <col min="12" max="12" width="3.5546875" style="170" customWidth="1"/>
    <col min="13" max="13" width="3.33203125" style="170" customWidth="1"/>
    <col min="14" max="14" width="5.6640625" style="170" bestFit="1" customWidth="1"/>
    <col min="15" max="15" width="6.6640625" style="170" customWidth="1"/>
    <col min="16" max="16" width="7.6640625" style="170" customWidth="1"/>
    <col min="17" max="17" width="6.33203125" style="170" bestFit="1" customWidth="1"/>
    <col min="18" max="18" width="5.33203125" style="170" bestFit="1" customWidth="1"/>
    <col min="19" max="19" width="7.6640625" style="170" customWidth="1"/>
    <col min="20" max="20" width="11" style="170" customWidth="1"/>
    <col min="21" max="21" width="8.109375" style="170" customWidth="1"/>
    <col min="22" max="22" width="5.44140625" style="170" customWidth="1"/>
    <col min="23" max="23" width="5.33203125" style="170" customWidth="1"/>
    <col min="24" max="24" width="6.44140625" style="170" hidden="1" customWidth="1"/>
    <col min="25" max="25" width="3" style="170" hidden="1" customWidth="1"/>
    <col min="26" max="26" width="7.44140625" style="170" hidden="1" customWidth="1"/>
    <col min="27" max="27" width="5.88671875" style="170" hidden="1" customWidth="1"/>
    <col min="28" max="29" width="7.6640625" style="170" customWidth="1"/>
    <col min="30" max="30" width="8.5546875" style="170" customWidth="1"/>
    <col min="31" max="31" width="7.109375" style="170" customWidth="1"/>
    <col min="32" max="32" width="5.44140625" style="170" customWidth="1"/>
    <col min="33" max="33" width="9.6640625" style="170" bestFit="1" customWidth="1"/>
    <col min="34" max="34" width="10.5546875" style="170" bestFit="1" customWidth="1"/>
    <col min="35" max="35" width="5.6640625" style="170" bestFit="1" customWidth="1"/>
    <col min="36" max="36" width="7.33203125" style="170" bestFit="1" customWidth="1"/>
    <col min="37" max="47" width="8.6640625" style="170" customWidth="1"/>
    <col min="48" max="16384" width="14.44140625" style="170"/>
  </cols>
  <sheetData>
    <row r="1" spans="1:39" ht="18.75" customHeight="1">
      <c r="A1" s="222"/>
      <c r="B1" s="222" t="s">
        <v>0</v>
      </c>
    </row>
    <row r="2" spans="1:39" ht="14.25" customHeight="1">
      <c r="S2" s="218" t="s">
        <v>60</v>
      </c>
    </row>
    <row r="3" spans="1:39" ht="15.75" customHeight="1">
      <c r="B3" s="280" t="s">
        <v>1</v>
      </c>
      <c r="C3" s="280"/>
      <c r="D3" s="281" t="s">
        <v>91</v>
      </c>
      <c r="E3" s="281"/>
    </row>
    <row r="4" spans="1:39" ht="14.25" customHeight="1">
      <c r="B4" s="280" t="s">
        <v>3</v>
      </c>
      <c r="C4" s="280"/>
      <c r="D4" s="282" t="s">
        <v>196</v>
      </c>
      <c r="F4" s="218"/>
      <c r="G4" s="218">
        <v>31</v>
      </c>
      <c r="Q4" s="218" t="s">
        <v>60</v>
      </c>
    </row>
    <row r="5" spans="1:39" ht="15" customHeight="1">
      <c r="B5" s="280" t="s">
        <v>4</v>
      </c>
      <c r="C5" s="280"/>
      <c r="D5" s="283" t="s">
        <v>5</v>
      </c>
      <c r="E5" s="283"/>
    </row>
    <row r="6" spans="1:39" ht="14.25" customHeight="1" thickBot="1"/>
    <row r="7" spans="1:39" ht="15" customHeight="1">
      <c r="A7" s="798" t="s">
        <v>6</v>
      </c>
      <c r="B7" s="801" t="s">
        <v>7</v>
      </c>
      <c r="C7" s="804" t="s">
        <v>8</v>
      </c>
      <c r="D7" s="807" t="s">
        <v>9</v>
      </c>
      <c r="E7" s="808" t="s">
        <v>92</v>
      </c>
      <c r="F7" s="796" t="s">
        <v>10</v>
      </c>
      <c r="G7" s="796" t="s">
        <v>11</v>
      </c>
      <c r="H7" s="796" t="s">
        <v>12</v>
      </c>
      <c r="I7" s="679" t="s">
        <v>13</v>
      </c>
      <c r="J7" s="657"/>
      <c r="K7" s="657"/>
      <c r="L7" s="657"/>
      <c r="M7" s="657"/>
      <c r="N7" s="657"/>
      <c r="O7" s="658"/>
      <c r="P7" s="663" t="s">
        <v>93</v>
      </c>
      <c r="Q7" s="663" t="s">
        <v>15</v>
      </c>
      <c r="R7" s="677" t="s">
        <v>16</v>
      </c>
      <c r="S7" s="792" t="s">
        <v>17</v>
      </c>
      <c r="T7" s="656" t="s">
        <v>19</v>
      </c>
      <c r="U7" s="656"/>
      <c r="V7" s="656"/>
      <c r="W7" s="656"/>
      <c r="X7" s="656"/>
      <c r="Y7" s="656"/>
      <c r="Z7" s="656"/>
      <c r="AA7" s="656"/>
      <c r="AB7" s="794"/>
      <c r="AC7" s="795" t="s">
        <v>20</v>
      </c>
      <c r="AD7" s="658"/>
      <c r="AE7" s="679" t="s">
        <v>21</v>
      </c>
      <c r="AF7" s="658"/>
      <c r="AG7" s="663" t="s">
        <v>22</v>
      </c>
      <c r="AH7" s="679" t="s">
        <v>23</v>
      </c>
      <c r="AI7" s="657"/>
      <c r="AJ7" s="658"/>
      <c r="AK7" s="788" t="s">
        <v>43</v>
      </c>
      <c r="AL7" s="669" t="s">
        <v>154</v>
      </c>
    </row>
    <row r="8" spans="1:39" ht="14.25" customHeight="1">
      <c r="A8" s="799"/>
      <c r="B8" s="802"/>
      <c r="C8" s="805"/>
      <c r="D8" s="789"/>
      <c r="E8" s="809"/>
      <c r="F8" s="664"/>
      <c r="G8" s="664"/>
      <c r="H8" s="664"/>
      <c r="I8" s="667" t="s">
        <v>25</v>
      </c>
      <c r="J8" s="667" t="s">
        <v>26</v>
      </c>
      <c r="K8" s="667" t="s">
        <v>27</v>
      </c>
      <c r="L8" s="667" t="s">
        <v>28</v>
      </c>
      <c r="M8" s="667" t="s">
        <v>29</v>
      </c>
      <c r="N8" s="667" t="s">
        <v>96</v>
      </c>
      <c r="O8" s="667" t="s">
        <v>30</v>
      </c>
      <c r="P8" s="664"/>
      <c r="Q8" s="664"/>
      <c r="R8" s="797"/>
      <c r="S8" s="793"/>
      <c r="T8" s="791" t="s">
        <v>31</v>
      </c>
      <c r="U8" s="685"/>
      <c r="V8" s="786" t="s">
        <v>32</v>
      </c>
      <c r="W8" s="685"/>
      <c r="X8" s="667" t="s">
        <v>33</v>
      </c>
      <c r="Y8" s="667" t="s">
        <v>34</v>
      </c>
      <c r="Z8" s="667" t="s">
        <v>35</v>
      </c>
      <c r="AA8" s="682" t="s">
        <v>39</v>
      </c>
      <c r="AB8" s="787" t="s">
        <v>36</v>
      </c>
      <c r="AC8" s="674" t="s">
        <v>37</v>
      </c>
      <c r="AD8" s="659" t="s">
        <v>38</v>
      </c>
      <c r="AE8" s="667" t="s">
        <v>39</v>
      </c>
      <c r="AF8" s="667" t="s">
        <v>40</v>
      </c>
      <c r="AG8" s="664"/>
      <c r="AH8" s="667" t="s">
        <v>41</v>
      </c>
      <c r="AI8" s="786" t="s">
        <v>42</v>
      </c>
      <c r="AJ8" s="685"/>
      <c r="AK8" s="789"/>
      <c r="AL8" s="670"/>
    </row>
    <row r="9" spans="1:39" ht="15" customHeight="1" thickBot="1">
      <c r="A9" s="800"/>
      <c r="B9" s="803"/>
      <c r="C9" s="806"/>
      <c r="D9" s="666"/>
      <c r="E9" s="810"/>
      <c r="F9" s="660"/>
      <c r="G9" s="660"/>
      <c r="H9" s="660"/>
      <c r="I9" s="660"/>
      <c r="J9" s="660"/>
      <c r="K9" s="660"/>
      <c r="L9" s="660"/>
      <c r="M9" s="660"/>
      <c r="N9" s="660"/>
      <c r="O9" s="660"/>
      <c r="P9" s="660"/>
      <c r="Q9" s="660"/>
      <c r="R9" s="673"/>
      <c r="S9" s="793"/>
      <c r="T9" s="458" t="s">
        <v>44</v>
      </c>
      <c r="U9" s="284" t="s">
        <v>45</v>
      </c>
      <c r="V9" s="284" t="s">
        <v>46</v>
      </c>
      <c r="W9" s="284" t="s">
        <v>47</v>
      </c>
      <c r="X9" s="660"/>
      <c r="Y9" s="660"/>
      <c r="Z9" s="660"/>
      <c r="AA9" s="664"/>
      <c r="AB9" s="671"/>
      <c r="AC9" s="675"/>
      <c r="AD9" s="660"/>
      <c r="AE9" s="660"/>
      <c r="AF9" s="660"/>
      <c r="AG9" s="660"/>
      <c r="AH9" s="660"/>
      <c r="AI9" s="284"/>
      <c r="AJ9" s="284"/>
      <c r="AK9" s="790"/>
      <c r="AL9" s="671"/>
    </row>
    <row r="10" spans="1:39" s="484" customFormat="1" ht="15" customHeight="1">
      <c r="C10" s="286" t="s">
        <v>207</v>
      </c>
      <c r="D10" s="286" t="s">
        <v>101</v>
      </c>
      <c r="E10" s="286">
        <v>500</v>
      </c>
      <c r="F10" s="286">
        <v>15000</v>
      </c>
      <c r="G10" s="286">
        <f>ROUNDDOWN((F10/G4),)</f>
        <v>483</v>
      </c>
      <c r="H10" s="286">
        <v>45</v>
      </c>
      <c r="I10" s="286">
        <v>22</v>
      </c>
      <c r="J10" s="286">
        <v>2</v>
      </c>
      <c r="K10" s="286">
        <v>0</v>
      </c>
      <c r="L10" s="286">
        <v>2</v>
      </c>
      <c r="M10" s="286">
        <v>0</v>
      </c>
      <c r="N10" s="286">
        <v>0</v>
      </c>
      <c r="O10" s="286">
        <f>SUM(I10:M10)-N10</f>
        <v>26</v>
      </c>
      <c r="P10" s="459">
        <v>10</v>
      </c>
      <c r="Q10" s="286">
        <f>IF(O10=G4,F10,O10*G10)</f>
        <v>12558</v>
      </c>
      <c r="R10" s="286">
        <f>H10*P10</f>
        <v>450</v>
      </c>
      <c r="S10" s="485">
        <f>+Q10+R10</f>
        <v>13008</v>
      </c>
      <c r="T10" s="287" t="s">
        <v>51</v>
      </c>
      <c r="U10" s="314">
        <v>0</v>
      </c>
      <c r="V10" s="314">
        <v>0</v>
      </c>
      <c r="W10" s="216">
        <v>0</v>
      </c>
      <c r="X10" s="216">
        <v>0</v>
      </c>
      <c r="Y10" s="216">
        <v>0</v>
      </c>
      <c r="Z10" s="216">
        <v>0</v>
      </c>
      <c r="AA10" s="286"/>
      <c r="AB10" s="288">
        <f>SUM(U10:Z10)</f>
        <v>0</v>
      </c>
      <c r="AC10" s="216">
        <v>0</v>
      </c>
      <c r="AD10" s="288">
        <f>AB10-AC10</f>
        <v>0</v>
      </c>
      <c r="AE10" s="216"/>
      <c r="AF10" s="314"/>
      <c r="AG10" s="486">
        <f>ROUNDDOWN(S10-AC10+AF10,0)</f>
        <v>13008</v>
      </c>
      <c r="AH10" s="289"/>
      <c r="AI10" s="216"/>
      <c r="AJ10" s="216"/>
      <c r="AK10" s="487"/>
      <c r="AL10" s="216" t="s">
        <v>52</v>
      </c>
      <c r="AM10" s="224"/>
    </row>
    <row r="11" spans="1:39" s="484" customFormat="1" ht="15.75" customHeight="1">
      <c r="C11" s="286"/>
      <c r="D11" s="286"/>
      <c r="E11" s="286"/>
      <c r="F11" s="286"/>
      <c r="G11" s="286"/>
      <c r="H11" s="286" t="s">
        <v>210</v>
      </c>
      <c r="I11" s="286"/>
      <c r="J11" s="286"/>
      <c r="K11" s="286"/>
      <c r="L11" s="286"/>
      <c r="M11" s="286"/>
      <c r="N11" s="286"/>
      <c r="O11" s="286"/>
      <c r="P11" s="459"/>
      <c r="Q11" s="286"/>
      <c r="R11" s="286"/>
      <c r="S11" s="223"/>
      <c r="T11" s="287"/>
      <c r="U11" s="314"/>
      <c r="V11" s="314"/>
      <c r="W11" s="216"/>
      <c r="X11" s="216"/>
      <c r="Y11" s="216"/>
      <c r="Z11" s="216"/>
      <c r="AA11" s="286"/>
      <c r="AB11" s="288"/>
      <c r="AC11" s="216"/>
      <c r="AD11" s="288"/>
      <c r="AE11" s="216"/>
      <c r="AF11" s="314"/>
      <c r="AG11" s="486"/>
      <c r="AH11" s="289"/>
      <c r="AI11" s="216"/>
      <c r="AJ11" s="216"/>
      <c r="AK11" s="487"/>
      <c r="AL11" s="216"/>
      <c r="AM11" s="224"/>
    </row>
    <row r="12" spans="1:39" s="484" customFormat="1" ht="15" customHeight="1">
      <c r="C12" s="285" t="s">
        <v>200</v>
      </c>
      <c r="D12" s="286" t="s">
        <v>101</v>
      </c>
      <c r="E12" s="286">
        <v>500</v>
      </c>
      <c r="F12" s="335" t="s">
        <v>208</v>
      </c>
      <c r="G12" s="286">
        <v>700</v>
      </c>
      <c r="H12" s="286">
        <v>50</v>
      </c>
      <c r="I12" s="286">
        <v>6</v>
      </c>
      <c r="J12" s="286">
        <v>0</v>
      </c>
      <c r="K12" s="286">
        <v>0</v>
      </c>
      <c r="L12" s="286"/>
      <c r="M12" s="286">
        <v>0</v>
      </c>
      <c r="N12" s="286">
        <v>0</v>
      </c>
      <c r="O12" s="286">
        <f>SUM(I12:M12)-N12</f>
        <v>6</v>
      </c>
      <c r="P12" s="459"/>
      <c r="Q12" s="286">
        <f>IF(O12=G4,F12,O12*G12)</f>
        <v>4200</v>
      </c>
      <c r="R12" s="286">
        <f>H12*P12</f>
        <v>0</v>
      </c>
      <c r="S12" s="223">
        <f>+Q12+R12</f>
        <v>4200</v>
      </c>
      <c r="T12" s="287" t="s">
        <v>51</v>
      </c>
      <c r="U12" s="314">
        <v>0</v>
      </c>
      <c r="V12" s="314">
        <v>0</v>
      </c>
      <c r="W12" s="216">
        <v>0</v>
      </c>
      <c r="X12" s="216">
        <v>0</v>
      </c>
      <c r="Y12" s="216">
        <v>0</v>
      </c>
      <c r="Z12" s="216">
        <v>0</v>
      </c>
      <c r="AA12" s="286"/>
      <c r="AB12" s="288">
        <f>SUM(U12:Z12)</f>
        <v>0</v>
      </c>
      <c r="AC12" s="216">
        <v>0</v>
      </c>
      <c r="AD12" s="288">
        <f>AB12-AC12</f>
        <v>0</v>
      </c>
      <c r="AE12" s="216"/>
      <c r="AF12" s="314"/>
      <c r="AG12" s="486">
        <f>ROUNDDOWN(S12-AC12+AF12,0)</f>
        <v>4200</v>
      </c>
      <c r="AH12" s="289"/>
      <c r="AI12" s="216"/>
      <c r="AJ12" s="216"/>
      <c r="AK12" s="487"/>
      <c r="AL12" s="216" t="s">
        <v>52</v>
      </c>
      <c r="AM12" s="224"/>
    </row>
    <row r="13" spans="1:39" s="484" customFormat="1" ht="15" customHeight="1"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460"/>
      <c r="Q13" s="286"/>
      <c r="R13" s="286"/>
      <c r="S13" s="223"/>
      <c r="T13" s="287"/>
      <c r="U13" s="314"/>
      <c r="V13" s="314"/>
      <c r="W13" s="216"/>
      <c r="X13" s="216"/>
      <c r="Y13" s="216"/>
      <c r="Z13" s="216"/>
      <c r="AA13" s="286"/>
      <c r="AB13" s="288"/>
      <c r="AC13" s="216"/>
      <c r="AD13" s="216"/>
      <c r="AE13" s="216"/>
      <c r="AF13" s="314"/>
      <c r="AG13" s="486"/>
      <c r="AH13" s="290"/>
      <c r="AI13" s="216"/>
      <c r="AJ13" s="216"/>
      <c r="AK13" s="487"/>
      <c r="AL13" s="216"/>
      <c r="AM13" s="224"/>
    </row>
    <row r="14" spans="1:39" s="488" customFormat="1" ht="14.25" customHeight="1">
      <c r="C14" s="558" t="s">
        <v>102</v>
      </c>
      <c r="D14" s="448" t="s">
        <v>50</v>
      </c>
      <c r="E14" s="448"/>
      <c r="F14" s="448">
        <v>12500</v>
      </c>
      <c r="G14" s="448">
        <f>ROUNDDOWN((F14/G4),)</f>
        <v>403</v>
      </c>
      <c r="H14" s="448">
        <v>40</v>
      </c>
      <c r="I14" s="448">
        <v>25</v>
      </c>
      <c r="J14" s="448">
        <v>4</v>
      </c>
      <c r="K14" s="448">
        <v>1</v>
      </c>
      <c r="L14" s="448">
        <v>2</v>
      </c>
      <c r="M14" s="448">
        <v>0</v>
      </c>
      <c r="N14" s="448">
        <v>0</v>
      </c>
      <c r="O14" s="448">
        <f t="shared" ref="O14" si="0">SUM(I14:M14)-N14</f>
        <v>32</v>
      </c>
      <c r="P14" s="459">
        <v>10</v>
      </c>
      <c r="Q14" s="448">
        <f>IF(O14=G4,F14,O14*G14)</f>
        <v>12896</v>
      </c>
      <c r="R14" s="448">
        <f t="shared" ref="R14" si="1">H14*P14</f>
        <v>400</v>
      </c>
      <c r="S14" s="489">
        <f t="shared" ref="S14" si="2">+Q14+R14</f>
        <v>13296</v>
      </c>
      <c r="T14" s="449" t="s">
        <v>131</v>
      </c>
      <c r="U14" s="450">
        <v>720</v>
      </c>
      <c r="V14" s="450">
        <v>0</v>
      </c>
      <c r="W14" s="276">
        <v>0</v>
      </c>
      <c r="X14" s="276"/>
      <c r="Y14" s="276">
        <v>0</v>
      </c>
      <c r="Z14" s="276">
        <v>0</v>
      </c>
      <c r="AA14" s="451"/>
      <c r="AB14" s="288">
        <f>SUM(U14:Z14)+U15</f>
        <v>5720</v>
      </c>
      <c r="AC14" s="216">
        <v>5720</v>
      </c>
      <c r="AD14" s="452">
        <f>AB14-AC14</f>
        <v>0</v>
      </c>
      <c r="AE14" s="216"/>
      <c r="AF14" s="450"/>
      <c r="AG14" s="490">
        <f>S14-AC14+AF14</f>
        <v>7576</v>
      </c>
      <c r="AH14" s="289" t="s">
        <v>223</v>
      </c>
      <c r="AI14" s="276"/>
      <c r="AJ14" s="276"/>
      <c r="AK14" s="491"/>
      <c r="AL14" s="276" t="s">
        <v>52</v>
      </c>
      <c r="AM14" s="277"/>
    </row>
    <row r="15" spans="1:39" s="488" customFormat="1" ht="14.25" customHeight="1">
      <c r="C15" s="558"/>
      <c r="D15" s="448"/>
      <c r="E15" s="448"/>
      <c r="F15" s="448"/>
      <c r="G15" s="448"/>
      <c r="H15" s="448"/>
      <c r="I15" s="448"/>
      <c r="J15" s="448"/>
      <c r="K15" s="448"/>
      <c r="L15" s="448"/>
      <c r="M15" s="448"/>
      <c r="N15" s="448"/>
      <c r="O15" s="448"/>
      <c r="P15" s="459"/>
      <c r="Q15" s="448"/>
      <c r="R15" s="448"/>
      <c r="S15" s="489"/>
      <c r="T15" s="287" t="s">
        <v>209</v>
      </c>
      <c r="U15" s="450">
        <v>5000</v>
      </c>
      <c r="V15" s="450"/>
      <c r="W15" s="276"/>
      <c r="X15" s="276"/>
      <c r="Y15" s="276"/>
      <c r="Z15" s="276"/>
      <c r="AA15" s="451"/>
      <c r="AB15" s="288"/>
      <c r="AC15" s="216"/>
      <c r="AD15" s="452"/>
      <c r="AE15" s="216"/>
      <c r="AF15" s="450"/>
      <c r="AG15" s="490"/>
      <c r="AH15" s="289"/>
      <c r="AI15" s="276"/>
      <c r="AJ15" s="276"/>
      <c r="AK15" s="491"/>
      <c r="AL15" s="276"/>
      <c r="AM15" s="277"/>
    </row>
    <row r="16" spans="1:39" ht="14.25" customHeight="1">
      <c r="C16" s="559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457"/>
      <c r="T16" s="453"/>
      <c r="U16" s="314"/>
      <c r="V16" s="314"/>
      <c r="W16" s="216"/>
      <c r="X16" s="216"/>
      <c r="Y16" s="216"/>
      <c r="Z16" s="216"/>
      <c r="AA16" s="286"/>
      <c r="AB16" s="288"/>
      <c r="AC16" s="320"/>
      <c r="AD16" s="216"/>
      <c r="AE16" s="216"/>
      <c r="AF16" s="314"/>
      <c r="AG16" s="343"/>
      <c r="AH16" s="290"/>
      <c r="AI16" s="216"/>
      <c r="AJ16" s="216"/>
      <c r="AK16" s="215"/>
      <c r="AL16" s="216"/>
      <c r="AM16" s="224"/>
    </row>
    <row r="17" spans="3:40" s="546" customFormat="1" ht="14.25" customHeight="1">
      <c r="C17" s="559" t="s">
        <v>138</v>
      </c>
      <c r="D17" s="292" t="s">
        <v>104</v>
      </c>
      <c r="E17" s="286"/>
      <c r="F17" s="286">
        <v>14000</v>
      </c>
      <c r="G17" s="286">
        <f>ROUNDDOWN((F17/G4),)</f>
        <v>451</v>
      </c>
      <c r="H17" s="286">
        <v>40</v>
      </c>
      <c r="I17" s="291">
        <v>16</v>
      </c>
      <c r="J17" s="286">
        <v>2</v>
      </c>
      <c r="K17" s="286">
        <v>0</v>
      </c>
      <c r="L17" s="286">
        <v>2</v>
      </c>
      <c r="M17" s="286">
        <v>0</v>
      </c>
      <c r="N17" s="286">
        <v>0</v>
      </c>
      <c r="O17" s="286">
        <f>SUM(I17:M17)-N17</f>
        <v>20</v>
      </c>
      <c r="P17" s="286">
        <v>0</v>
      </c>
      <c r="Q17" s="286">
        <f>IF(O17=G4,F17,O17*G17)</f>
        <v>9020</v>
      </c>
      <c r="R17" s="286">
        <f>H17*P17</f>
        <v>0</v>
      </c>
      <c r="S17" s="223">
        <f>+Q17+R17</f>
        <v>9020</v>
      </c>
      <c r="T17" s="287">
        <v>45964</v>
      </c>
      <c r="U17" s="314">
        <v>500</v>
      </c>
      <c r="V17" s="314">
        <v>0</v>
      </c>
      <c r="W17" s="216">
        <v>0</v>
      </c>
      <c r="X17" s="216">
        <v>0</v>
      </c>
      <c r="Y17" s="216">
        <v>0</v>
      </c>
      <c r="Z17" s="216">
        <v>0</v>
      </c>
      <c r="AA17" s="454"/>
      <c r="AB17" s="288">
        <f>SUM(U17:Z17)</f>
        <v>500</v>
      </c>
      <c r="AC17" s="216">
        <v>0</v>
      </c>
      <c r="AD17" s="288">
        <f>AB17-AC17</f>
        <v>500</v>
      </c>
      <c r="AE17" s="216"/>
      <c r="AF17" s="314"/>
      <c r="AG17" s="486">
        <f>ROUNDDOWN(S17-AC17+AF17,0)</f>
        <v>9020</v>
      </c>
      <c r="AH17" s="289" t="s">
        <v>213</v>
      </c>
      <c r="AI17" s="216"/>
      <c r="AJ17" s="216"/>
      <c r="AK17" s="487"/>
      <c r="AL17" s="216" t="s">
        <v>52</v>
      </c>
      <c r="AM17" s="224"/>
    </row>
    <row r="18" spans="3:40" ht="14.25" customHeight="1">
      <c r="C18" s="560"/>
      <c r="D18" s="292"/>
      <c r="E18" s="286"/>
      <c r="F18" s="286"/>
      <c r="G18" s="286"/>
      <c r="H18" s="286"/>
      <c r="I18" s="291"/>
      <c r="J18" s="286"/>
      <c r="K18" s="286"/>
      <c r="L18" s="286"/>
      <c r="M18" s="286"/>
      <c r="N18" s="286"/>
      <c r="O18" s="286"/>
      <c r="P18" s="286"/>
      <c r="Q18" s="286"/>
      <c r="R18" s="286"/>
      <c r="S18" s="457"/>
      <c r="T18" s="287"/>
      <c r="U18" s="314"/>
      <c r="V18" s="314"/>
      <c r="W18" s="216"/>
      <c r="X18" s="216"/>
      <c r="Y18" s="216"/>
      <c r="Z18" s="216"/>
      <c r="AA18" s="454"/>
      <c r="AB18" s="288"/>
      <c r="AC18" s="216"/>
      <c r="AD18" s="288"/>
      <c r="AE18" s="216"/>
      <c r="AF18" s="314"/>
      <c r="AG18" s="343"/>
      <c r="AH18" s="289"/>
      <c r="AI18" s="216"/>
      <c r="AJ18" s="216"/>
      <c r="AK18" s="215"/>
      <c r="AL18" s="216"/>
      <c r="AM18" s="224"/>
    </row>
    <row r="19" spans="3:40" s="484" customFormat="1" ht="14.25" customHeight="1">
      <c r="C19" s="559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23"/>
      <c r="T19" s="287"/>
      <c r="U19" s="314"/>
      <c r="V19" s="314"/>
      <c r="W19" s="216"/>
      <c r="X19" s="216"/>
      <c r="Y19" s="216"/>
      <c r="Z19" s="216"/>
      <c r="AA19" s="454"/>
      <c r="AB19" s="288"/>
      <c r="AC19" s="216"/>
      <c r="AD19" s="288"/>
      <c r="AE19" s="216"/>
      <c r="AF19" s="314"/>
      <c r="AG19" s="486"/>
      <c r="AH19" s="289"/>
      <c r="AI19" s="216"/>
      <c r="AJ19" s="216"/>
      <c r="AK19" s="487"/>
      <c r="AL19" s="216"/>
      <c r="AM19" s="224"/>
    </row>
    <row r="20" spans="3:40" s="484" customFormat="1" ht="14.25" customHeight="1">
      <c r="C20" s="560" t="s">
        <v>204</v>
      </c>
      <c r="D20" s="286" t="s">
        <v>50</v>
      </c>
      <c r="E20" s="286"/>
      <c r="F20" s="286">
        <v>12500</v>
      </c>
      <c r="G20" s="286">
        <f>ROUNDDOWN((F20/G4),)</f>
        <v>403</v>
      </c>
      <c r="H20" s="286">
        <v>40</v>
      </c>
      <c r="I20" s="286">
        <v>3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f>SUM(I20:M20)-N20</f>
        <v>3</v>
      </c>
      <c r="P20" s="286">
        <v>0</v>
      </c>
      <c r="Q20" s="286">
        <f>IF(O20=G4,F20,O20*G20)</f>
        <v>1209</v>
      </c>
      <c r="R20" s="286">
        <f>H20*P20</f>
        <v>0</v>
      </c>
      <c r="S20" s="223">
        <f>+Q20+R20</f>
        <v>1209</v>
      </c>
      <c r="T20" s="287" t="s">
        <v>51</v>
      </c>
      <c r="U20" s="314">
        <v>0</v>
      </c>
      <c r="V20" s="314">
        <v>350</v>
      </c>
      <c r="W20" s="216">
        <v>350</v>
      </c>
      <c r="X20" s="216">
        <v>0</v>
      </c>
      <c r="Y20" s="216">
        <v>0</v>
      </c>
      <c r="Z20" s="216">
        <v>0</v>
      </c>
      <c r="AA20" s="454"/>
      <c r="AB20" s="288">
        <f>SUM(U20:Z20)</f>
        <v>700</v>
      </c>
      <c r="AC20" s="216">
        <v>0</v>
      </c>
      <c r="AD20" s="288">
        <f>AB20-AC20</f>
        <v>700</v>
      </c>
      <c r="AE20" s="216"/>
      <c r="AF20" s="314"/>
      <c r="AG20" s="486">
        <f>S20-AC20+AF20</f>
        <v>1209</v>
      </c>
      <c r="AH20" s="289"/>
      <c r="AI20" s="216"/>
      <c r="AJ20" s="216"/>
      <c r="AK20" s="487"/>
      <c r="AL20" s="216" t="s">
        <v>52</v>
      </c>
      <c r="AM20" s="224"/>
    </row>
    <row r="21" spans="3:40" s="484" customFormat="1" ht="14.25" customHeight="1">
      <c r="C21" s="559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23"/>
      <c r="T21" s="287"/>
      <c r="U21" s="314"/>
      <c r="V21" s="314"/>
      <c r="W21" s="216"/>
      <c r="X21" s="216"/>
      <c r="Y21" s="216"/>
      <c r="Z21" s="216"/>
      <c r="AA21" s="454"/>
      <c r="AB21" s="288"/>
      <c r="AC21" s="216"/>
      <c r="AD21" s="288"/>
      <c r="AE21" s="216"/>
      <c r="AF21" s="314"/>
      <c r="AG21" s="486">
        <v>859</v>
      </c>
      <c r="AH21" s="289" t="s">
        <v>223</v>
      </c>
      <c r="AI21" s="216"/>
      <c r="AJ21" s="216"/>
      <c r="AK21" s="487"/>
      <c r="AL21" s="216"/>
      <c r="AM21" s="224"/>
    </row>
    <row r="22" spans="3:40" s="484" customFormat="1" ht="14.25" customHeight="1">
      <c r="C22" s="559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23"/>
      <c r="T22" s="287"/>
      <c r="U22" s="314"/>
      <c r="V22" s="314"/>
      <c r="W22" s="216"/>
      <c r="X22" s="216"/>
      <c r="Y22" s="216"/>
      <c r="Z22" s="216"/>
      <c r="AA22" s="454"/>
      <c r="AB22" s="288"/>
      <c r="AC22" s="216"/>
      <c r="AD22" s="288"/>
      <c r="AE22" s="216"/>
      <c r="AF22" s="314"/>
      <c r="AG22" s="486">
        <v>350</v>
      </c>
      <c r="AH22" s="289" t="s">
        <v>224</v>
      </c>
      <c r="AI22" s="216"/>
      <c r="AJ22" s="216"/>
      <c r="AK22" s="487"/>
      <c r="AL22" s="216"/>
      <c r="AM22" s="224"/>
    </row>
    <row r="23" spans="3:40" s="484" customFormat="1" ht="14.25" customHeight="1">
      <c r="C23" s="559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23"/>
      <c r="T23" s="287"/>
      <c r="U23" s="314"/>
      <c r="V23" s="314"/>
      <c r="W23" s="216"/>
      <c r="X23" s="216"/>
      <c r="Y23" s="216"/>
      <c r="Z23" s="216"/>
      <c r="AA23" s="454"/>
      <c r="AB23" s="288"/>
      <c r="AC23" s="216"/>
      <c r="AD23" s="288"/>
      <c r="AE23" s="216"/>
      <c r="AF23" s="314"/>
      <c r="AG23" s="486"/>
      <c r="AH23" s="289"/>
      <c r="AI23" s="216"/>
      <c r="AJ23" s="216"/>
      <c r="AK23" s="487"/>
      <c r="AL23" s="216"/>
      <c r="AM23" s="224"/>
    </row>
    <row r="24" spans="3:40" s="484" customFormat="1" ht="14.25" customHeight="1">
      <c r="C24" s="559" t="s">
        <v>103</v>
      </c>
      <c r="D24" s="286" t="s">
        <v>50</v>
      </c>
      <c r="E24" s="286">
        <v>500</v>
      </c>
      <c r="F24" s="286">
        <v>12500</v>
      </c>
      <c r="G24" s="286">
        <f>ROUNDDOWN((F24/G4),)</f>
        <v>403</v>
      </c>
      <c r="H24" s="286">
        <v>40</v>
      </c>
      <c r="I24" s="286">
        <v>23</v>
      </c>
      <c r="J24" s="286">
        <v>5</v>
      </c>
      <c r="K24" s="286">
        <v>0</v>
      </c>
      <c r="L24" s="286">
        <v>2</v>
      </c>
      <c r="M24" s="286">
        <v>0</v>
      </c>
      <c r="N24" s="286">
        <v>0</v>
      </c>
      <c r="O24" s="286">
        <f>SUM(I24:M24)-N24</f>
        <v>30</v>
      </c>
      <c r="P24" s="286">
        <v>0</v>
      </c>
      <c r="Q24" s="286">
        <f>IF(O24=G4,F24,O24*G24)</f>
        <v>12090</v>
      </c>
      <c r="R24" s="286">
        <f>H24*P24</f>
        <v>0</v>
      </c>
      <c r="S24" s="223">
        <f>+Q24+R24</f>
        <v>12090</v>
      </c>
      <c r="T24" s="287" t="s">
        <v>51</v>
      </c>
      <c r="U24" s="314">
        <v>0</v>
      </c>
      <c r="V24" s="314">
        <v>0</v>
      </c>
      <c r="W24" s="216">
        <v>0</v>
      </c>
      <c r="X24" s="216">
        <v>0</v>
      </c>
      <c r="Y24" s="216">
        <v>0</v>
      </c>
      <c r="Z24" s="216">
        <v>0</v>
      </c>
      <c r="AA24" s="454"/>
      <c r="AB24" s="288">
        <f>SUM(U24:Z24)</f>
        <v>0</v>
      </c>
      <c r="AC24" s="216">
        <v>0</v>
      </c>
      <c r="AD24" s="288">
        <v>0</v>
      </c>
      <c r="AE24" s="216"/>
      <c r="AF24" s="314"/>
      <c r="AG24" s="486">
        <f>ROUNDDOWN(S24-AC24+AF24,0)</f>
        <v>12090</v>
      </c>
      <c r="AI24" s="216"/>
      <c r="AJ24" s="216"/>
      <c r="AK24" s="487"/>
      <c r="AL24" s="216" t="s">
        <v>52</v>
      </c>
      <c r="AM24" s="224"/>
    </row>
    <row r="25" spans="3:40" s="484" customFormat="1" ht="14.25" customHeight="1"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7"/>
      <c r="U25" s="314"/>
      <c r="V25" s="314"/>
      <c r="W25" s="216"/>
      <c r="X25" s="216"/>
      <c r="Y25" s="216"/>
      <c r="Z25" s="216"/>
      <c r="AA25" s="454"/>
      <c r="AB25" s="288"/>
      <c r="AC25" s="216"/>
      <c r="AD25" s="288"/>
      <c r="AE25" s="216"/>
      <c r="AF25" s="314"/>
      <c r="AG25" s="288">
        <v>11690</v>
      </c>
      <c r="AH25" s="289" t="s">
        <v>223</v>
      </c>
      <c r="AI25" s="216"/>
      <c r="AJ25" s="216"/>
      <c r="AK25" s="487"/>
      <c r="AL25" s="216"/>
      <c r="AM25" s="224"/>
    </row>
    <row r="26" spans="3:40" s="484" customFormat="1" ht="14.25" customHeight="1"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7"/>
      <c r="U26" s="314"/>
      <c r="V26" s="314"/>
      <c r="W26" s="216"/>
      <c r="X26" s="216"/>
      <c r="Y26" s="216"/>
      <c r="Z26" s="216"/>
      <c r="AA26" s="454"/>
      <c r="AB26" s="288"/>
      <c r="AC26" s="216"/>
      <c r="AD26" s="288"/>
      <c r="AE26" s="216"/>
      <c r="AF26" s="314"/>
      <c r="AG26" s="288">
        <v>400</v>
      </c>
      <c r="AH26" s="289" t="s">
        <v>224</v>
      </c>
      <c r="AI26" s="216"/>
      <c r="AJ26" s="216"/>
      <c r="AK26" s="487"/>
      <c r="AL26" s="216"/>
      <c r="AM26" s="224"/>
    </row>
    <row r="27" spans="3:40" s="484" customFormat="1" ht="14.25" customHeight="1"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7"/>
      <c r="U27" s="314"/>
      <c r="V27" s="314"/>
      <c r="W27" s="216"/>
      <c r="X27" s="216"/>
      <c r="Y27" s="216"/>
      <c r="Z27" s="216"/>
      <c r="AA27" s="454"/>
      <c r="AB27" s="288"/>
      <c r="AC27" s="216"/>
      <c r="AD27" s="288"/>
      <c r="AE27" s="216"/>
      <c r="AF27" s="314"/>
      <c r="AG27" s="288"/>
      <c r="AH27" s="289"/>
      <c r="AI27" s="216"/>
      <c r="AJ27" s="216"/>
      <c r="AK27" s="487"/>
      <c r="AL27" s="216"/>
      <c r="AM27" s="224"/>
    </row>
    <row r="28" spans="3:40" s="484" customFormat="1" ht="14.25" customHeight="1">
      <c r="C28" s="285" t="s">
        <v>201</v>
      </c>
      <c r="D28" s="292" t="s">
        <v>181</v>
      </c>
      <c r="E28" s="292">
        <v>500</v>
      </c>
      <c r="F28" s="286">
        <v>15000</v>
      </c>
      <c r="G28" s="286">
        <f>ROUNDDOWN((F28/G4),)</f>
        <v>483</v>
      </c>
      <c r="H28" s="286">
        <v>50</v>
      </c>
      <c r="I28" s="286">
        <v>3</v>
      </c>
      <c r="J28" s="286"/>
      <c r="K28" s="286">
        <v>0</v>
      </c>
      <c r="L28" s="286">
        <v>0</v>
      </c>
      <c r="M28" s="286">
        <v>0</v>
      </c>
      <c r="N28" s="286">
        <v>0</v>
      </c>
      <c r="O28" s="286">
        <f>SUM(I28:M28)-N28</f>
        <v>3</v>
      </c>
      <c r="P28" s="286">
        <v>0</v>
      </c>
      <c r="Q28" s="286">
        <f>IF(O28=G4,F28,O28*G28)</f>
        <v>1449</v>
      </c>
      <c r="R28" s="286">
        <f>H28*P28</f>
        <v>0</v>
      </c>
      <c r="S28" s="223">
        <f>ROUNDDOWN(Q28+R28,0)</f>
        <v>1449</v>
      </c>
      <c r="T28" s="287" t="s">
        <v>51</v>
      </c>
      <c r="U28" s="314">
        <v>0</v>
      </c>
      <c r="V28" s="314">
        <v>350</v>
      </c>
      <c r="W28" s="216">
        <v>350</v>
      </c>
      <c r="X28" s="216">
        <v>0</v>
      </c>
      <c r="Y28" s="216">
        <v>0</v>
      </c>
      <c r="Z28" s="216">
        <v>0</v>
      </c>
      <c r="AA28" s="286"/>
      <c r="AB28" s="288">
        <f>SUM(U28:Z28)</f>
        <v>700</v>
      </c>
      <c r="AC28" s="216">
        <v>700</v>
      </c>
      <c r="AD28" s="288">
        <f>AB28-AC28</f>
        <v>0</v>
      </c>
      <c r="AE28" s="216"/>
      <c r="AF28" s="314"/>
      <c r="AG28" s="486">
        <f>ROUNDDOWN(S28-AC28+AF28,0)</f>
        <v>749</v>
      </c>
      <c r="AH28" s="289"/>
      <c r="AI28" s="216"/>
      <c r="AJ28" s="216"/>
      <c r="AK28" s="487"/>
      <c r="AL28" s="216" t="s">
        <v>52</v>
      </c>
      <c r="AM28" s="224"/>
      <c r="AN28" s="549"/>
    </row>
    <row r="29" spans="3:40" s="484" customFormat="1" ht="14.25" customHeight="1">
      <c r="C29" s="286"/>
      <c r="D29" s="292"/>
      <c r="E29" s="292"/>
      <c r="F29" s="286"/>
      <c r="G29" s="286"/>
      <c r="H29" s="286"/>
      <c r="I29" s="286" t="s">
        <v>6</v>
      </c>
      <c r="J29" s="286"/>
      <c r="K29" s="286"/>
      <c r="L29" s="286"/>
      <c r="M29" s="286"/>
      <c r="N29" s="286"/>
      <c r="O29" s="286"/>
      <c r="P29" s="286"/>
      <c r="Q29" s="286"/>
      <c r="R29" s="286"/>
      <c r="S29" s="223"/>
      <c r="T29" s="287"/>
      <c r="U29" s="314"/>
      <c r="V29" s="314"/>
      <c r="W29" s="216"/>
      <c r="X29" s="216"/>
      <c r="Y29" s="216"/>
      <c r="Z29" s="216"/>
      <c r="AA29" s="286"/>
      <c r="AB29" s="288"/>
      <c r="AC29" s="216"/>
      <c r="AD29" s="216"/>
      <c r="AE29" s="216"/>
      <c r="AF29" s="314"/>
      <c r="AG29" s="486"/>
      <c r="AH29" s="455"/>
      <c r="AI29" s="216"/>
      <c r="AJ29" s="216"/>
      <c r="AK29" s="487"/>
      <c r="AL29" s="216"/>
      <c r="AM29" s="224"/>
    </row>
    <row r="30" spans="3:40" s="484" customFormat="1" ht="14.25" customHeight="1">
      <c r="L30" s="484" t="s">
        <v>60</v>
      </c>
      <c r="V30" s="492"/>
    </row>
    <row r="31" spans="3:40" ht="14.25" customHeight="1"/>
    <row r="32" spans="3:40" ht="14.25" customHeight="1">
      <c r="AG32" s="170" t="s">
        <v>161</v>
      </c>
    </row>
    <row r="33" spans="19:33" ht="14.25" customHeight="1">
      <c r="S33" s="170">
        <f>SUM(S10:S29)</f>
        <v>54272</v>
      </c>
      <c r="AG33" s="170">
        <f>SUM(AG10:AG29)</f>
        <v>61151</v>
      </c>
    </row>
    <row r="34" spans="19:33" ht="14.25" customHeight="1"/>
    <row r="35" spans="19:33" ht="14.25" customHeight="1"/>
    <row r="36" spans="19:33" ht="14.25" customHeight="1"/>
    <row r="37" spans="19:33" ht="14.25" customHeight="1"/>
    <row r="38" spans="19:33" ht="14.25" customHeight="1"/>
    <row r="39" spans="19:33" ht="14.25" customHeight="1"/>
    <row r="40" spans="19:33" ht="14.25" customHeight="1"/>
    <row r="41" spans="19:33" ht="14.25" customHeight="1"/>
    <row r="42" spans="19:33" ht="14.25" customHeight="1"/>
    <row r="43" spans="19:33" ht="14.25" customHeight="1"/>
    <row r="44" spans="19:33" ht="14.25" customHeight="1"/>
    <row r="45" spans="19:33" ht="14.25" customHeight="1"/>
    <row r="46" spans="19:33" ht="14.25" customHeight="1"/>
    <row r="47" spans="19:33" ht="14.25" customHeight="1"/>
    <row r="48" spans="19:3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40">
    <mergeCell ref="F7:F9"/>
    <mergeCell ref="A7:A9"/>
    <mergeCell ref="B7:B9"/>
    <mergeCell ref="C7:C9"/>
    <mergeCell ref="D7:D9"/>
    <mergeCell ref="E7:E9"/>
    <mergeCell ref="V8:W8"/>
    <mergeCell ref="X8:X9"/>
    <mergeCell ref="Y8:Y9"/>
    <mergeCell ref="Z8:Z9"/>
    <mergeCell ref="G7:G9"/>
    <mergeCell ref="H7:H9"/>
    <mergeCell ref="I7:O7"/>
    <mergeCell ref="P7:P9"/>
    <mergeCell ref="Q7:Q9"/>
    <mergeCell ref="R7:R9"/>
    <mergeCell ref="AK7:AK9"/>
    <mergeCell ref="AL7:AL9"/>
    <mergeCell ref="I8:I9"/>
    <mergeCell ref="J8:J9"/>
    <mergeCell ref="K8:K9"/>
    <mergeCell ref="L8:L9"/>
    <mergeCell ref="M8:M9"/>
    <mergeCell ref="N8:N9"/>
    <mergeCell ref="O8:O9"/>
    <mergeCell ref="T8:U8"/>
    <mergeCell ref="S7:S9"/>
    <mergeCell ref="T7:AB7"/>
    <mergeCell ref="AC7:AD7"/>
    <mergeCell ref="AE7:AF7"/>
    <mergeCell ref="AG7:AG9"/>
    <mergeCell ref="AH7:AJ7"/>
    <mergeCell ref="AH8:AH9"/>
    <mergeCell ref="AI8:AJ8"/>
    <mergeCell ref="AA8:AA9"/>
    <mergeCell ref="AB8:AB9"/>
    <mergeCell ref="AC8:AC9"/>
    <mergeCell ref="AD8:AD9"/>
    <mergeCell ref="AE8:AE9"/>
    <mergeCell ref="AF8:AF9"/>
  </mergeCells>
  <dataValidations count="2">
    <dataValidation type="list" allowBlank="1" showErrorMessage="1" sqref="AI10:AI29" xr:uid="{3310CA4F-9AD7-4A18-831F-F6FC51BAD4D7}">
      <formula1>"Own,Other"</formula1>
    </dataValidation>
    <dataValidation type="list" allowBlank="1" showErrorMessage="1" sqref="AL10:AL29" xr:uid="{8B7B54C2-B98F-4808-86D5-BAE437FB3E80}">
      <formula1>"Working,Left"</formula1>
    </dataValidation>
  </dataValidations>
  <pageMargins left="0.7" right="0.7" top="0.75" bottom="0.75" header="0" footer="0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866F-702A-4422-B8D9-24EB7A224385}">
  <dimension ref="A1:AK999"/>
  <sheetViews>
    <sheetView workbookViewId="0">
      <selection activeCell="L24" sqref="L24"/>
    </sheetView>
  </sheetViews>
  <sheetFormatPr defaultColWidth="14.44140625" defaultRowHeight="14.4"/>
  <cols>
    <col min="1" max="1" width="4" style="230" customWidth="1"/>
    <col min="2" max="2" width="12.44140625" style="230" customWidth="1"/>
    <col min="3" max="4" width="7.44140625" style="230" customWidth="1"/>
    <col min="5" max="6" width="7.33203125" style="230" bestFit="1" customWidth="1"/>
    <col min="7" max="7" width="3.6640625" style="230" customWidth="1"/>
    <col min="8" max="8" width="4.109375" style="230" bestFit="1" customWidth="1"/>
    <col min="9" max="9" width="5.109375" style="230" bestFit="1" customWidth="1"/>
    <col min="10" max="10" width="3.44140625" style="230" bestFit="1" customWidth="1"/>
    <col min="11" max="11" width="6.109375" style="230" customWidth="1"/>
    <col min="12" max="12" width="7.109375" style="230" customWidth="1"/>
    <col min="13" max="13" width="6.44140625" style="230" bestFit="1" customWidth="1"/>
    <col min="14" max="14" width="9.33203125" style="230" customWidth="1"/>
    <col min="15" max="15" width="3.33203125" style="230" bestFit="1" customWidth="1"/>
    <col min="16" max="16" width="6" style="230" bestFit="1" customWidth="1"/>
    <col min="17" max="17" width="11.33203125" style="230" bestFit="1" customWidth="1"/>
    <col min="18" max="18" width="5" style="230" bestFit="1" customWidth="1"/>
    <col min="19" max="19" width="6.6640625" style="230" bestFit="1" customWidth="1"/>
    <col min="20" max="20" width="10.33203125" style="230" customWidth="1"/>
    <col min="21" max="21" width="8.33203125" style="230" customWidth="1"/>
    <col min="22" max="22" width="7.5546875" style="230" customWidth="1"/>
    <col min="23" max="23" width="7.6640625" style="230" customWidth="1"/>
    <col min="24" max="24" width="7" style="230" customWidth="1"/>
    <col min="25" max="25" width="6.6640625" style="230" customWidth="1"/>
    <col min="26" max="26" width="11.5546875" style="230" customWidth="1"/>
    <col min="27" max="27" width="11.109375" style="230" customWidth="1"/>
    <col min="28" max="29" width="8.6640625" style="230" customWidth="1"/>
    <col min="30" max="30" width="9.5546875" style="230" bestFit="1" customWidth="1"/>
    <col min="31" max="32" width="8.6640625" style="230" customWidth="1"/>
    <col min="33" max="33" width="10.5546875" style="230" bestFit="1" customWidth="1"/>
    <col min="34" max="37" width="8.6640625" style="230" customWidth="1"/>
    <col min="38" max="16384" width="14.44140625" style="230"/>
  </cols>
  <sheetData>
    <row r="1" spans="1:37" ht="18.75" customHeight="1">
      <c r="A1" s="261"/>
      <c r="B1" s="261" t="s">
        <v>0</v>
      </c>
    </row>
    <row r="2" spans="1:37" ht="14.25" customHeight="1"/>
    <row r="3" spans="1:37" ht="15.75" customHeight="1">
      <c r="B3" s="258" t="s">
        <v>1</v>
      </c>
      <c r="C3" s="258"/>
      <c r="D3" s="260"/>
    </row>
    <row r="4" spans="1:37" ht="14.25" customHeight="1">
      <c r="B4" s="258" t="s">
        <v>3</v>
      </c>
      <c r="C4" s="258"/>
      <c r="D4" s="259" t="s">
        <v>162</v>
      </c>
      <c r="F4" s="230">
        <v>31</v>
      </c>
    </row>
    <row r="5" spans="1:37" ht="15" customHeight="1">
      <c r="B5" s="258" t="s">
        <v>4</v>
      </c>
      <c r="C5" s="258"/>
      <c r="D5" s="257" t="s">
        <v>152</v>
      </c>
    </row>
    <row r="6" spans="1:37" ht="14.25" customHeight="1" thickBot="1">
      <c r="W6" s="873" t="s">
        <v>59</v>
      </c>
      <c r="X6" s="874"/>
      <c r="Y6" s="875"/>
    </row>
    <row r="7" spans="1:37" ht="15" customHeight="1">
      <c r="A7" s="876" t="s">
        <v>54</v>
      </c>
      <c r="B7" s="876" t="s">
        <v>8</v>
      </c>
      <c r="C7" s="878" t="s">
        <v>9</v>
      </c>
      <c r="D7" s="878" t="s">
        <v>10</v>
      </c>
      <c r="E7" s="239"/>
      <c r="F7" s="239"/>
      <c r="G7" s="238" t="s">
        <v>13</v>
      </c>
      <c r="H7" s="256"/>
      <c r="I7" s="256"/>
      <c r="J7" s="256"/>
      <c r="K7" s="263"/>
      <c r="L7" s="263"/>
      <c r="M7" s="879" t="s">
        <v>30</v>
      </c>
      <c r="N7" s="882" t="s">
        <v>70</v>
      </c>
      <c r="O7" s="884" t="s">
        <v>132</v>
      </c>
      <c r="P7" s="882" t="s">
        <v>15</v>
      </c>
      <c r="Q7" s="882" t="s">
        <v>71</v>
      </c>
      <c r="R7" s="882" t="s">
        <v>133</v>
      </c>
      <c r="S7" s="887" t="s">
        <v>56</v>
      </c>
      <c r="T7" s="888" t="s">
        <v>19</v>
      </c>
      <c r="U7" s="852"/>
      <c r="V7" s="852"/>
      <c r="W7" s="852"/>
      <c r="X7" s="852"/>
      <c r="Y7" s="852"/>
      <c r="Z7" s="852"/>
      <c r="AA7" s="853"/>
      <c r="AB7" s="872" t="s">
        <v>20</v>
      </c>
      <c r="AC7" s="853"/>
      <c r="AD7" s="868" t="s">
        <v>174</v>
      </c>
      <c r="AE7" s="869"/>
      <c r="AF7" s="870" t="s">
        <v>22</v>
      </c>
      <c r="AG7" s="851" t="s">
        <v>23</v>
      </c>
      <c r="AH7" s="852"/>
      <c r="AI7" s="853"/>
      <c r="AJ7" s="854" t="s">
        <v>43</v>
      </c>
      <c r="AK7" s="857" t="s">
        <v>24</v>
      </c>
    </row>
    <row r="8" spans="1:37" ht="14.25" customHeight="1">
      <c r="A8" s="877"/>
      <c r="B8" s="877"/>
      <c r="C8" s="877"/>
      <c r="D8" s="877"/>
      <c r="E8" s="255" t="s">
        <v>11</v>
      </c>
      <c r="F8" s="255" t="s">
        <v>12</v>
      </c>
      <c r="G8" s="239" t="s">
        <v>25</v>
      </c>
      <c r="H8" s="239" t="s">
        <v>26</v>
      </c>
      <c r="I8" s="239" t="s">
        <v>27</v>
      </c>
      <c r="J8" s="239" t="s">
        <v>28</v>
      </c>
      <c r="K8" s="264" t="s">
        <v>172</v>
      </c>
      <c r="L8" s="264" t="s">
        <v>173</v>
      </c>
      <c r="M8" s="880"/>
      <c r="N8" s="883"/>
      <c r="O8" s="885"/>
      <c r="P8" s="883"/>
      <c r="Q8" s="883"/>
      <c r="R8" s="882"/>
      <c r="S8" s="855"/>
      <c r="T8" s="889" t="s">
        <v>31</v>
      </c>
      <c r="U8" s="875"/>
      <c r="V8" s="889" t="s">
        <v>32</v>
      </c>
      <c r="W8" s="875"/>
      <c r="X8" s="860" t="s">
        <v>33</v>
      </c>
      <c r="Y8" s="860" t="s">
        <v>34</v>
      </c>
      <c r="Z8" s="860" t="s">
        <v>35</v>
      </c>
      <c r="AA8" s="862" t="s">
        <v>36</v>
      </c>
      <c r="AB8" s="864" t="s">
        <v>37</v>
      </c>
      <c r="AC8" s="860" t="s">
        <v>38</v>
      </c>
      <c r="AD8" s="860" t="s">
        <v>175</v>
      </c>
      <c r="AE8" s="860" t="s">
        <v>40</v>
      </c>
      <c r="AF8" s="871"/>
      <c r="AG8" s="866" t="s">
        <v>41</v>
      </c>
      <c r="AH8" s="849" t="s">
        <v>42</v>
      </c>
      <c r="AI8" s="850"/>
      <c r="AJ8" s="855"/>
      <c r="AK8" s="858"/>
    </row>
    <row r="9" spans="1:37" ht="15" customHeight="1" thickBot="1">
      <c r="M9" s="881"/>
      <c r="N9" s="883"/>
      <c r="O9" s="886"/>
      <c r="P9" s="883"/>
      <c r="Q9" s="883"/>
      <c r="R9" s="882"/>
      <c r="S9" s="856"/>
      <c r="T9" s="254" t="s">
        <v>44</v>
      </c>
      <c r="U9" s="254" t="s">
        <v>45</v>
      </c>
      <c r="V9" s="254" t="s">
        <v>46</v>
      </c>
      <c r="W9" s="254" t="s">
        <v>47</v>
      </c>
      <c r="X9" s="861"/>
      <c r="Y9" s="861"/>
      <c r="Z9" s="861"/>
      <c r="AA9" s="863"/>
      <c r="AB9" s="865"/>
      <c r="AC9" s="861"/>
      <c r="AD9" s="861"/>
      <c r="AE9" s="861"/>
      <c r="AF9" s="861"/>
      <c r="AG9" s="867"/>
      <c r="AH9" s="253"/>
      <c r="AI9" s="252" t="s">
        <v>48</v>
      </c>
      <c r="AJ9" s="856"/>
      <c r="AK9" s="859"/>
    </row>
    <row r="10" spans="1:37" ht="15" customHeight="1">
      <c r="M10" s="243"/>
      <c r="N10" s="251"/>
      <c r="O10" s="251"/>
      <c r="P10" s="251"/>
      <c r="Q10" s="251"/>
      <c r="R10" s="250"/>
      <c r="S10" s="249"/>
      <c r="T10" s="246"/>
      <c r="U10" s="246"/>
      <c r="V10" s="246"/>
      <c r="W10" s="246"/>
      <c r="X10" s="246"/>
      <c r="Y10" s="246"/>
      <c r="Z10" s="246"/>
      <c r="AA10" s="248"/>
      <c r="AB10" s="247"/>
      <c r="AC10" s="246"/>
      <c r="AD10" s="245" t="s">
        <v>187</v>
      </c>
      <c r="AE10" s="245">
        <v>651</v>
      </c>
      <c r="AF10" s="243"/>
      <c r="AG10" s="244"/>
      <c r="AH10" s="243"/>
      <c r="AI10" s="241"/>
      <c r="AJ10" s="242"/>
      <c r="AK10" s="241"/>
    </row>
    <row r="11" spans="1:37" ht="28.8">
      <c r="A11" s="239">
        <v>1</v>
      </c>
      <c r="B11" s="240" t="s">
        <v>160</v>
      </c>
      <c r="C11" s="239" t="s">
        <v>153</v>
      </c>
      <c r="D11" s="239">
        <v>20000</v>
      </c>
      <c r="E11" s="239">
        <f>ROUNDDOWN((D11/F4),)</f>
        <v>645</v>
      </c>
      <c r="F11" s="239">
        <f>ROUNDDOWN((D11/F4/9),)</f>
        <v>71</v>
      </c>
      <c r="G11" s="239">
        <v>25</v>
      </c>
      <c r="H11" s="239">
        <v>0</v>
      </c>
      <c r="I11" s="239">
        <v>4</v>
      </c>
      <c r="J11" s="239">
        <v>0</v>
      </c>
      <c r="K11" s="239">
        <v>0</v>
      </c>
      <c r="L11" s="239"/>
      <c r="M11" s="239">
        <f>SUM(G11:J11)-K11</f>
        <v>29</v>
      </c>
      <c r="N11" s="239">
        <v>0</v>
      </c>
      <c r="O11" s="239">
        <v>0</v>
      </c>
      <c r="P11" s="232">
        <f>IF(M11=F4,D11,M11*E11)</f>
        <v>18705</v>
      </c>
      <c r="Q11" s="238">
        <f>F11*N11</f>
        <v>0</v>
      </c>
      <c r="R11" s="237">
        <f>ROUNDDOWN(F11*O11,0)</f>
        <v>0</v>
      </c>
      <c r="S11" s="433">
        <f>+P11-Q11+R11</f>
        <v>18705</v>
      </c>
      <c r="T11" s="236">
        <v>45931</v>
      </c>
      <c r="U11" s="262">
        <v>4000</v>
      </c>
      <c r="V11" s="235">
        <v>0</v>
      </c>
      <c r="W11" s="232">
        <v>0</v>
      </c>
      <c r="X11" s="232">
        <v>0</v>
      </c>
      <c r="Y11" s="232">
        <v>0</v>
      </c>
      <c r="Z11" s="232">
        <v>0</v>
      </c>
      <c r="AA11" s="235">
        <f>SUM(U11:Z11)+U12+U13</f>
        <v>4000</v>
      </c>
      <c r="AB11" s="232">
        <v>4000</v>
      </c>
      <c r="AC11" s="235">
        <f>AA11-AB11</f>
        <v>0</v>
      </c>
      <c r="AD11" s="430" t="s">
        <v>186</v>
      </c>
      <c r="AE11" s="235">
        <f>651+500</f>
        <v>1151</v>
      </c>
      <c r="AF11" s="431">
        <f>S11-AB11+AE11</f>
        <v>15856</v>
      </c>
      <c r="AG11" s="234"/>
      <c r="AH11" s="232"/>
      <c r="AI11" s="232"/>
      <c r="AJ11" s="233"/>
      <c r="AK11" s="232" t="s">
        <v>52</v>
      </c>
    </row>
    <row r="12" spans="1:37" ht="14.25" customHeight="1">
      <c r="S12" s="434"/>
      <c r="T12" s="231"/>
      <c r="AF12" s="432"/>
    </row>
    <row r="13" spans="1:37" ht="17.25" customHeight="1">
      <c r="A13" s="239">
        <v>1</v>
      </c>
      <c r="B13" s="240" t="s">
        <v>184</v>
      </c>
      <c r="C13" s="239" t="s">
        <v>153</v>
      </c>
      <c r="D13" s="239">
        <v>20500</v>
      </c>
      <c r="E13" s="239">
        <f>ROUNDDOWN((D13/F4),)</f>
        <v>661</v>
      </c>
      <c r="F13" s="239">
        <f>ROUNDDOWN((D13/F4/9),)</f>
        <v>73</v>
      </c>
      <c r="G13" s="239">
        <v>12</v>
      </c>
      <c r="H13" s="239">
        <v>1</v>
      </c>
      <c r="I13" s="239"/>
      <c r="J13" s="239">
        <v>0</v>
      </c>
      <c r="K13" s="239">
        <v>0</v>
      </c>
      <c r="L13" s="239"/>
      <c r="M13" s="239">
        <f>SUM(G13:J13)-K13</f>
        <v>13</v>
      </c>
      <c r="N13" s="239">
        <v>0</v>
      </c>
      <c r="O13" s="239">
        <v>0</v>
      </c>
      <c r="P13" s="232">
        <f>IF(M13=F6,D13,M13*E13)</f>
        <v>8593</v>
      </c>
      <c r="Q13" s="238">
        <f>F13*N13</f>
        <v>0</v>
      </c>
      <c r="R13" s="237">
        <f>ROUNDDOWN(F13*O13,0)</f>
        <v>0</v>
      </c>
      <c r="S13" s="433">
        <f>+P13-Q13+R13</f>
        <v>8593</v>
      </c>
      <c r="T13" s="236">
        <v>0</v>
      </c>
      <c r="U13" s="262">
        <v>0</v>
      </c>
      <c r="V13" s="235">
        <v>0</v>
      </c>
      <c r="W13" s="232">
        <v>0</v>
      </c>
      <c r="X13" s="232">
        <v>0</v>
      </c>
      <c r="Y13" s="232">
        <v>0</v>
      </c>
      <c r="Z13" s="232">
        <v>0</v>
      </c>
      <c r="AA13" s="235">
        <f>SUM(U13:Z13)+U14+U15</f>
        <v>2000</v>
      </c>
      <c r="AB13" s="232">
        <v>0</v>
      </c>
      <c r="AC13" s="235">
        <f>AA13-AB13</f>
        <v>2000</v>
      </c>
      <c r="AD13" s="232">
        <v>0</v>
      </c>
      <c r="AE13" s="235">
        <v>0</v>
      </c>
      <c r="AF13" s="431">
        <f>S13-AB13+AE13</f>
        <v>8593</v>
      </c>
      <c r="AG13" s="234"/>
      <c r="AH13" s="232"/>
      <c r="AI13" s="232"/>
      <c r="AJ13" s="233"/>
      <c r="AK13" s="232" t="s">
        <v>52</v>
      </c>
    </row>
    <row r="14" spans="1:37" ht="14.25" customHeight="1"/>
    <row r="15" spans="1:37" ht="17.25" customHeight="1">
      <c r="A15" s="239">
        <v>1</v>
      </c>
      <c r="B15" s="240" t="s">
        <v>222</v>
      </c>
      <c r="C15" s="239" t="s">
        <v>153</v>
      </c>
      <c r="D15" s="239">
        <v>18000</v>
      </c>
      <c r="E15" s="239">
        <f>ROUNDDOWN((D15/F4),)</f>
        <v>580</v>
      </c>
      <c r="F15" s="239">
        <f>ROUNDDOWN((D15/F4/9),)</f>
        <v>64</v>
      </c>
      <c r="G15" s="239">
        <v>15</v>
      </c>
      <c r="H15" s="239">
        <v>2</v>
      </c>
      <c r="I15" s="239"/>
      <c r="J15" s="239">
        <v>0</v>
      </c>
      <c r="K15" s="239">
        <v>0</v>
      </c>
      <c r="L15" s="239"/>
      <c r="M15" s="239">
        <f>SUM(G15:J15)-K15</f>
        <v>17</v>
      </c>
      <c r="N15" s="239">
        <v>0</v>
      </c>
      <c r="O15" s="239">
        <v>0</v>
      </c>
      <c r="P15" s="232">
        <f>IF(M15=F8,D15,M15*E15)</f>
        <v>9860</v>
      </c>
      <c r="Q15" s="238">
        <f>F15*N15</f>
        <v>0</v>
      </c>
      <c r="R15" s="237">
        <f>ROUNDDOWN(F15*O15,0)</f>
        <v>0</v>
      </c>
      <c r="S15" s="433">
        <f>+P15-Q15+R15</f>
        <v>9860</v>
      </c>
      <c r="T15" s="236">
        <v>45971</v>
      </c>
      <c r="U15" s="262">
        <v>2000</v>
      </c>
      <c r="V15" s="235">
        <v>0</v>
      </c>
      <c r="W15" s="232">
        <v>0</v>
      </c>
      <c r="X15" s="232">
        <v>0</v>
      </c>
      <c r="Y15" s="232">
        <v>0</v>
      </c>
      <c r="Z15" s="232">
        <v>0</v>
      </c>
      <c r="AA15" s="235">
        <f>SUM(U15:Z15)+U16+U17</f>
        <v>2000</v>
      </c>
      <c r="AB15" s="232">
        <v>0</v>
      </c>
      <c r="AC15" s="235">
        <f>AA15-AB15</f>
        <v>2000</v>
      </c>
      <c r="AD15" s="232">
        <v>0</v>
      </c>
      <c r="AE15" s="235">
        <v>0</v>
      </c>
      <c r="AF15" s="431">
        <f>S15-AB15+AE15</f>
        <v>9860</v>
      </c>
      <c r="AG15" s="234"/>
      <c r="AH15" s="232"/>
      <c r="AI15" s="232"/>
      <c r="AJ15" s="233"/>
      <c r="AK15" s="232" t="s">
        <v>52</v>
      </c>
    </row>
    <row r="16" spans="1:37" ht="14.25" customHeight="1"/>
    <row r="17" spans="22:22" ht="14.25" customHeight="1"/>
    <row r="18" spans="22:22" ht="14.25" customHeight="1">
      <c r="V18" s="230" t="s">
        <v>60</v>
      </c>
    </row>
    <row r="19" spans="22:22" ht="14.25" customHeight="1"/>
    <row r="20" spans="22:22" ht="14.25" customHeight="1"/>
    <row r="21" spans="22:22" ht="14.25" customHeight="1"/>
    <row r="22" spans="22:22" ht="14.25" customHeight="1"/>
    <row r="23" spans="22:22" ht="14.25" customHeight="1"/>
    <row r="24" spans="22:22" ht="14.25" customHeight="1"/>
    <row r="25" spans="22:22" ht="14.25" customHeight="1"/>
    <row r="26" spans="22:22" ht="14.25" customHeight="1"/>
    <row r="27" spans="22:22" ht="14.25" customHeight="1"/>
    <row r="28" spans="22:22" ht="14.25" customHeight="1"/>
    <row r="29" spans="22:22" ht="14.25" customHeight="1"/>
    <row r="30" spans="22:22" ht="14.25" customHeight="1"/>
    <row r="31" spans="22:22" ht="14.25" customHeight="1"/>
    <row r="32" spans="22:2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1">
    <mergeCell ref="W6:Y6"/>
    <mergeCell ref="A7:A8"/>
    <mergeCell ref="B7:B8"/>
    <mergeCell ref="C7:C8"/>
    <mergeCell ref="D7:D8"/>
    <mergeCell ref="M7:M9"/>
    <mergeCell ref="N7:N9"/>
    <mergeCell ref="O7:O9"/>
    <mergeCell ref="P7:P9"/>
    <mergeCell ref="Q7:Q9"/>
    <mergeCell ref="R7:R9"/>
    <mergeCell ref="S7:S9"/>
    <mergeCell ref="T7:AA7"/>
    <mergeCell ref="T8:U8"/>
    <mergeCell ref="V8:W8"/>
    <mergeCell ref="X8:X9"/>
    <mergeCell ref="AH8:AI8"/>
    <mergeCell ref="AG7:AI7"/>
    <mergeCell ref="AJ7:AJ9"/>
    <mergeCell ref="AK7:AK9"/>
    <mergeCell ref="Y8:Y9"/>
    <mergeCell ref="Z8:Z9"/>
    <mergeCell ref="AA8:AA9"/>
    <mergeCell ref="AB8:AB9"/>
    <mergeCell ref="AG8:AG9"/>
    <mergeCell ref="AD7:AE7"/>
    <mergeCell ref="AF7:AF9"/>
    <mergeCell ref="AC8:AC9"/>
    <mergeCell ref="AD8:AD9"/>
    <mergeCell ref="AE8:AE9"/>
    <mergeCell ref="AB7:AC7"/>
  </mergeCells>
  <dataValidations disablePrompts="1" count="2">
    <dataValidation type="list" allowBlank="1" showErrorMessage="1" sqref="AK11 AK13 AK15" xr:uid="{EA3BFDD9-3D6F-4845-94DC-5D2656F85414}">
      <formula1>"Working,Left"</formula1>
    </dataValidation>
    <dataValidation type="list" allowBlank="1" showErrorMessage="1" sqref="AH11 AH13 AH15" xr:uid="{86535C91-F491-4798-8BC6-938CCF7C72AE}">
      <formula1>"Own,Other"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F2EE-B0DF-4B57-9929-56749576E4F0}">
  <dimension ref="A1:AK1002"/>
  <sheetViews>
    <sheetView zoomScale="85" zoomScaleNormal="85" workbookViewId="0">
      <selection activeCell="AA36" sqref="AA36"/>
    </sheetView>
  </sheetViews>
  <sheetFormatPr defaultColWidth="14.44140625" defaultRowHeight="14.4"/>
  <cols>
    <col min="1" max="1" width="4" style="230" customWidth="1"/>
    <col min="2" max="2" width="12.44140625" style="230" customWidth="1"/>
    <col min="3" max="3" width="8.88671875" style="230" bestFit="1" customWidth="1"/>
    <col min="4" max="4" width="7.44140625" style="230" customWidth="1"/>
    <col min="5" max="5" width="4.88671875" style="230" customWidth="1"/>
    <col min="6" max="6" width="6.109375" style="230" customWidth="1"/>
    <col min="7" max="7" width="3.6640625" style="230" customWidth="1"/>
    <col min="8" max="8" width="4.109375" style="230" bestFit="1" customWidth="1"/>
    <col min="9" max="9" width="5.109375" style="230" bestFit="1" customWidth="1"/>
    <col min="10" max="10" width="3.44140625" style="230" bestFit="1" customWidth="1"/>
    <col min="11" max="11" width="6.109375" style="230" customWidth="1"/>
    <col min="12" max="12" width="7.109375" style="230" customWidth="1"/>
    <col min="13" max="13" width="6.44140625" style="230" bestFit="1" customWidth="1"/>
    <col min="14" max="14" width="9.33203125" style="230" customWidth="1"/>
    <col min="15" max="15" width="3.33203125" style="230" bestFit="1" customWidth="1"/>
    <col min="16" max="16" width="6" style="230" bestFit="1" customWidth="1"/>
    <col min="17" max="17" width="11.33203125" style="230" bestFit="1" customWidth="1"/>
    <col min="18" max="18" width="5" style="230" bestFit="1" customWidth="1"/>
    <col min="19" max="19" width="6.6640625" style="230" bestFit="1" customWidth="1"/>
    <col min="20" max="20" width="10.33203125" style="230" customWidth="1"/>
    <col min="21" max="21" width="8.33203125" style="230" customWidth="1"/>
    <col min="22" max="22" width="7.5546875" style="230" hidden="1" customWidth="1"/>
    <col min="23" max="23" width="7.6640625" style="230" hidden="1" customWidth="1"/>
    <col min="24" max="24" width="7" style="230" hidden="1" customWidth="1"/>
    <col min="25" max="25" width="6.6640625" style="230" hidden="1" customWidth="1"/>
    <col min="26" max="26" width="11.5546875" style="230" hidden="1" customWidth="1"/>
    <col min="27" max="27" width="11.109375" style="230" customWidth="1"/>
    <col min="28" max="29" width="8.6640625" style="230" customWidth="1"/>
    <col min="30" max="30" width="9.5546875" style="230" bestFit="1" customWidth="1"/>
    <col min="31" max="31" width="8.6640625" style="230" customWidth="1"/>
    <col min="32" max="32" width="9.44140625" style="230" bestFit="1" customWidth="1"/>
    <col min="33" max="33" width="10.5546875" style="230" bestFit="1" customWidth="1"/>
    <col min="34" max="37" width="8.6640625" style="230" customWidth="1"/>
    <col min="38" max="16384" width="14.44140625" style="230"/>
  </cols>
  <sheetData>
    <row r="1" spans="1:37" ht="18.75" customHeight="1">
      <c r="A1" s="261"/>
      <c r="B1" s="261" t="s">
        <v>0</v>
      </c>
    </row>
    <row r="2" spans="1:37" ht="14.25" customHeight="1"/>
    <row r="3" spans="1:37" ht="15.75" customHeight="1">
      <c r="B3" s="258" t="s">
        <v>1</v>
      </c>
      <c r="C3" s="258"/>
      <c r="D3" s="260"/>
    </row>
    <row r="4" spans="1:37" ht="14.25" customHeight="1">
      <c r="B4" s="258" t="s">
        <v>3</v>
      </c>
      <c r="C4" s="258"/>
      <c r="D4" s="259" t="s">
        <v>196</v>
      </c>
      <c r="F4" s="230">
        <v>31</v>
      </c>
    </row>
    <row r="5" spans="1:37" ht="15" customHeight="1">
      <c r="B5" s="258" t="s">
        <v>4</v>
      </c>
      <c r="C5" s="258"/>
      <c r="D5" s="257" t="s">
        <v>152</v>
      </c>
    </row>
    <row r="6" spans="1:37" ht="14.25" customHeight="1" thickBot="1">
      <c r="W6" s="873" t="s">
        <v>59</v>
      </c>
      <c r="X6" s="874"/>
      <c r="Y6" s="875"/>
    </row>
    <row r="7" spans="1:37" ht="15" customHeight="1">
      <c r="A7" s="876" t="s">
        <v>54</v>
      </c>
      <c r="B7" s="876" t="s">
        <v>8</v>
      </c>
      <c r="C7" s="878" t="s">
        <v>9</v>
      </c>
      <c r="D7" s="878" t="s">
        <v>10</v>
      </c>
      <c r="E7" s="239"/>
      <c r="F7" s="239"/>
      <c r="G7" s="238" t="s">
        <v>13</v>
      </c>
      <c r="H7" s="256"/>
      <c r="I7" s="256"/>
      <c r="J7" s="256"/>
      <c r="K7" s="237"/>
      <c r="L7" s="237"/>
      <c r="M7" s="890" t="s">
        <v>30</v>
      </c>
      <c r="N7" s="882" t="s">
        <v>70</v>
      </c>
      <c r="O7" s="884" t="s">
        <v>132</v>
      </c>
      <c r="P7" s="882" t="s">
        <v>15</v>
      </c>
      <c r="Q7" s="882" t="s">
        <v>71</v>
      </c>
      <c r="R7" s="882" t="s">
        <v>133</v>
      </c>
      <c r="S7" s="887" t="s">
        <v>56</v>
      </c>
      <c r="T7" s="888" t="s">
        <v>19</v>
      </c>
      <c r="U7" s="852"/>
      <c r="V7" s="852"/>
      <c r="W7" s="852"/>
      <c r="X7" s="852"/>
      <c r="Y7" s="852"/>
      <c r="Z7" s="852"/>
      <c r="AA7" s="853"/>
      <c r="AB7" s="872" t="s">
        <v>20</v>
      </c>
      <c r="AC7" s="853"/>
      <c r="AD7" s="868" t="s">
        <v>174</v>
      </c>
      <c r="AE7" s="869"/>
      <c r="AF7" s="870" t="s">
        <v>22</v>
      </c>
      <c r="AG7" s="851" t="s">
        <v>23</v>
      </c>
      <c r="AH7" s="852"/>
      <c r="AI7" s="853"/>
      <c r="AJ7" s="854" t="s">
        <v>43</v>
      </c>
      <c r="AK7" s="857" t="s">
        <v>24</v>
      </c>
    </row>
    <row r="8" spans="1:37" ht="14.25" customHeight="1">
      <c r="A8" s="877"/>
      <c r="B8" s="877"/>
      <c r="C8" s="877"/>
      <c r="D8" s="877"/>
      <c r="E8" s="255" t="s">
        <v>11</v>
      </c>
      <c r="F8" s="255" t="s">
        <v>12</v>
      </c>
      <c r="G8" s="239" t="s">
        <v>25</v>
      </c>
      <c r="H8" s="239" t="s">
        <v>26</v>
      </c>
      <c r="I8" s="239" t="s">
        <v>27</v>
      </c>
      <c r="J8" s="238" t="s">
        <v>28</v>
      </c>
      <c r="K8" s="237" t="s">
        <v>172</v>
      </c>
      <c r="L8" s="237" t="s">
        <v>173</v>
      </c>
      <c r="M8" s="891"/>
      <c r="N8" s="883"/>
      <c r="O8" s="885"/>
      <c r="P8" s="883"/>
      <c r="Q8" s="883"/>
      <c r="R8" s="882"/>
      <c r="S8" s="855"/>
      <c r="T8" s="889" t="s">
        <v>31</v>
      </c>
      <c r="U8" s="875"/>
      <c r="V8" s="889" t="s">
        <v>32</v>
      </c>
      <c r="W8" s="875"/>
      <c r="X8" s="860" t="s">
        <v>33</v>
      </c>
      <c r="Y8" s="860" t="s">
        <v>34</v>
      </c>
      <c r="Z8" s="860" t="s">
        <v>35</v>
      </c>
      <c r="AA8" s="862" t="s">
        <v>36</v>
      </c>
      <c r="AB8" s="864" t="s">
        <v>37</v>
      </c>
      <c r="AC8" s="860" t="s">
        <v>38</v>
      </c>
      <c r="AD8" s="860" t="s">
        <v>175</v>
      </c>
      <c r="AE8" s="860" t="s">
        <v>40</v>
      </c>
      <c r="AF8" s="871"/>
      <c r="AG8" s="866" t="s">
        <v>41</v>
      </c>
      <c r="AH8" s="849" t="s">
        <v>42</v>
      </c>
      <c r="AI8" s="850"/>
      <c r="AJ8" s="855"/>
      <c r="AK8" s="858"/>
    </row>
    <row r="9" spans="1:37" ht="15" customHeight="1" thickBot="1">
      <c r="M9" s="881"/>
      <c r="N9" s="883"/>
      <c r="O9" s="886"/>
      <c r="P9" s="883"/>
      <c r="Q9" s="883"/>
      <c r="R9" s="882"/>
      <c r="S9" s="856"/>
      <c r="T9" s="254" t="s">
        <v>44</v>
      </c>
      <c r="U9" s="254" t="s">
        <v>45</v>
      </c>
      <c r="V9" s="254" t="s">
        <v>46</v>
      </c>
      <c r="W9" s="254" t="s">
        <v>47</v>
      </c>
      <c r="X9" s="861"/>
      <c r="Y9" s="861"/>
      <c r="Z9" s="861"/>
      <c r="AA9" s="863"/>
      <c r="AB9" s="865"/>
      <c r="AC9" s="861"/>
      <c r="AD9" s="861"/>
      <c r="AE9" s="861"/>
      <c r="AF9" s="861"/>
      <c r="AG9" s="867"/>
      <c r="AH9" s="253"/>
      <c r="AI9" s="252" t="s">
        <v>48</v>
      </c>
      <c r="AJ9" s="856"/>
      <c r="AK9" s="859"/>
    </row>
    <row r="10" spans="1:37" ht="15" customHeight="1">
      <c r="M10" s="243"/>
      <c r="N10" s="251"/>
      <c r="O10" s="251"/>
      <c r="P10" s="251"/>
      <c r="Q10" s="251"/>
      <c r="R10" s="250"/>
      <c r="S10" s="249"/>
      <c r="T10" s="246"/>
      <c r="U10" s="246"/>
      <c r="V10" s="246"/>
      <c r="W10" s="246"/>
      <c r="X10" s="246"/>
      <c r="Y10" s="246"/>
      <c r="Z10" s="246"/>
      <c r="AA10" s="248"/>
      <c r="AB10" s="247"/>
      <c r="AC10" s="246"/>
      <c r="AG10" s="244"/>
      <c r="AH10" s="243"/>
      <c r="AI10" s="241"/>
      <c r="AJ10" s="242"/>
      <c r="AK10" s="241"/>
    </row>
    <row r="11" spans="1:37" ht="18">
      <c r="A11" s="239">
        <v>1</v>
      </c>
      <c r="B11" s="240" t="s">
        <v>160</v>
      </c>
      <c r="C11" s="239" t="s">
        <v>153</v>
      </c>
      <c r="D11" s="239">
        <v>20000</v>
      </c>
      <c r="E11" s="239">
        <f>ROUNDDOWN((D11/F4),)</f>
        <v>645</v>
      </c>
      <c r="F11" s="239">
        <f>ROUNDDOWN((D11/F4/9),)</f>
        <v>71</v>
      </c>
      <c r="G11" s="239">
        <v>25</v>
      </c>
      <c r="H11" s="239">
        <v>2</v>
      </c>
      <c r="I11" s="239">
        <v>2</v>
      </c>
      <c r="J11" s="239">
        <v>2</v>
      </c>
      <c r="K11" s="239"/>
      <c r="L11" s="239"/>
      <c r="M11" s="239">
        <f>SUM(G11:J11)-K11</f>
        <v>31</v>
      </c>
      <c r="N11" s="239">
        <v>0</v>
      </c>
      <c r="O11" s="239">
        <v>0</v>
      </c>
      <c r="P11" s="232">
        <f>IF(M11=F4,D11,M11*E11)</f>
        <v>20000</v>
      </c>
      <c r="Q11" s="238">
        <f>F11*N11</f>
        <v>0</v>
      </c>
      <c r="R11" s="237">
        <f>ROUNDDOWN(F11*O11,0)</f>
        <v>0</v>
      </c>
      <c r="S11" s="433">
        <f>+P11-Q11+R11</f>
        <v>20000</v>
      </c>
      <c r="T11" s="236" t="s">
        <v>51</v>
      </c>
      <c r="U11" s="262"/>
      <c r="V11" s="235">
        <v>0</v>
      </c>
      <c r="W11" s="232">
        <v>0</v>
      </c>
      <c r="X11" s="232">
        <v>0</v>
      </c>
      <c r="Y11" s="232">
        <v>0</v>
      </c>
      <c r="Z11" s="232">
        <v>0</v>
      </c>
      <c r="AA11" s="235">
        <f>SUM(U11:Z11)+U13+U16</f>
        <v>0</v>
      </c>
      <c r="AB11" s="232"/>
      <c r="AC11" s="235">
        <f>AA11-AB11</f>
        <v>0</v>
      </c>
      <c r="AD11" s="430"/>
      <c r="AE11" s="235">
        <v>650</v>
      </c>
      <c r="AF11" s="431">
        <f>S11-AB11+AE11</f>
        <v>20650</v>
      </c>
      <c r="AG11" s="234"/>
      <c r="AH11" s="232"/>
      <c r="AI11" s="232"/>
      <c r="AJ11" s="233"/>
      <c r="AK11" s="232" t="s">
        <v>52</v>
      </c>
    </row>
    <row r="12" spans="1:37" ht="18" hidden="1">
      <c r="A12" s="263"/>
      <c r="B12" s="438"/>
      <c r="C12" s="263"/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439"/>
      <c r="Q12" s="263"/>
      <c r="R12" s="263"/>
      <c r="S12" s="434"/>
      <c r="T12" s="440"/>
      <c r="U12" s="441"/>
      <c r="V12" s="442"/>
      <c r="W12" s="439"/>
      <c r="X12" s="439"/>
      <c r="Y12" s="439"/>
      <c r="Z12" s="439"/>
      <c r="AA12" s="442"/>
      <c r="AB12" s="439"/>
      <c r="AC12" s="442"/>
      <c r="AD12" s="245"/>
      <c r="AE12" s="245"/>
      <c r="AF12" s="243"/>
      <c r="AG12" s="437"/>
      <c r="AH12" s="439"/>
      <c r="AI12" s="439"/>
      <c r="AJ12" s="443"/>
      <c r="AK12" s="439"/>
    </row>
    <row r="13" spans="1:37" ht="14.25" hidden="1" customHeight="1">
      <c r="S13" s="434"/>
      <c r="T13" s="231"/>
      <c r="AF13" s="436">
        <f>AF11-AF12</f>
        <v>20650</v>
      </c>
    </row>
    <row r="14" spans="1:37" ht="14.25" hidden="1" customHeight="1">
      <c r="S14" s="434"/>
      <c r="T14" s="231"/>
      <c r="AF14" s="436"/>
    </row>
    <row r="15" spans="1:37" ht="14.25" hidden="1" customHeight="1">
      <c r="S15" s="434"/>
      <c r="T15" s="231"/>
      <c r="AF15" s="436"/>
    </row>
    <row r="16" spans="1:37" ht="17.25" hidden="1" customHeight="1">
      <c r="A16" s="239">
        <v>1</v>
      </c>
      <c r="B16" s="240" t="s">
        <v>184</v>
      </c>
      <c r="C16" s="239" t="s">
        <v>153</v>
      </c>
      <c r="D16" s="239">
        <v>20500</v>
      </c>
      <c r="E16" s="239">
        <f>ROUNDDOWN((D16/F4),)</f>
        <v>661</v>
      </c>
      <c r="F16" s="239">
        <f>ROUNDDOWN((D16/F4/9),)</f>
        <v>73</v>
      </c>
      <c r="G16" s="239"/>
      <c r="H16" s="239"/>
      <c r="I16" s="239"/>
      <c r="J16" s="239">
        <v>0</v>
      </c>
      <c r="K16" s="239">
        <v>0</v>
      </c>
      <c r="L16" s="239"/>
      <c r="M16" s="239">
        <f>SUM(G16:J16)-K16</f>
        <v>0</v>
      </c>
      <c r="N16" s="239">
        <v>0</v>
      </c>
      <c r="O16" s="239">
        <v>0</v>
      </c>
      <c r="P16" s="232">
        <f>IF(M16=F4,D16,M16*E16)</f>
        <v>0</v>
      </c>
      <c r="Q16" s="238">
        <f>F16*N16</f>
        <v>0</v>
      </c>
      <c r="R16" s="237">
        <f>ROUNDDOWN(F16*O16,0)</f>
        <v>0</v>
      </c>
      <c r="S16" s="433">
        <f>+P16-Q16+R16</f>
        <v>0</v>
      </c>
      <c r="T16" s="236" t="s">
        <v>51</v>
      </c>
      <c r="U16" s="262">
        <v>0</v>
      </c>
      <c r="V16" s="235">
        <v>0</v>
      </c>
      <c r="W16" s="232">
        <v>0</v>
      </c>
      <c r="X16" s="232">
        <v>0</v>
      </c>
      <c r="Y16" s="232">
        <v>0</v>
      </c>
      <c r="Z16" s="232">
        <v>0</v>
      </c>
      <c r="AA16" s="235">
        <f>SUM(U16:Z16)+U17+U18</f>
        <v>0</v>
      </c>
      <c r="AB16" s="232">
        <v>0</v>
      </c>
      <c r="AC16" s="235">
        <f>AA16-AB16</f>
        <v>0</v>
      </c>
      <c r="AD16" s="232"/>
      <c r="AE16" s="235"/>
      <c r="AF16" s="431">
        <f>S16-AB16+AE16</f>
        <v>0</v>
      </c>
      <c r="AG16" s="234"/>
      <c r="AH16" s="232"/>
      <c r="AI16" s="232"/>
      <c r="AJ16" s="233"/>
      <c r="AK16" s="232" t="s">
        <v>52</v>
      </c>
    </row>
    <row r="17" spans="22:33" ht="14.25" hidden="1" customHeight="1">
      <c r="AG17" s="437"/>
    </row>
    <row r="18" spans="22:33" ht="14.25" hidden="1" customHeight="1">
      <c r="AF18" s="436">
        <f>AF16-AF17</f>
        <v>0</v>
      </c>
    </row>
    <row r="19" spans="22:33" ht="14.25" hidden="1" customHeight="1"/>
    <row r="20" spans="22:33" ht="14.25" customHeight="1"/>
    <row r="21" spans="22:33" ht="14.25" customHeight="1">
      <c r="V21" s="230" t="s">
        <v>60</v>
      </c>
    </row>
    <row r="22" spans="22:33" ht="14.25" customHeight="1"/>
    <row r="23" spans="22:33" ht="14.25" customHeight="1"/>
    <row r="24" spans="22:33" ht="14.25" customHeight="1"/>
    <row r="25" spans="22:33" ht="14.25" customHeight="1"/>
    <row r="26" spans="22:33" ht="14.25" customHeight="1"/>
    <row r="27" spans="22:33" ht="14.25" customHeight="1"/>
    <row r="28" spans="22:33" ht="14.25" customHeight="1"/>
    <row r="29" spans="22:33" ht="14.25" customHeight="1"/>
    <row r="30" spans="22:33" ht="14.25" customHeight="1"/>
    <row r="31" spans="22:33" ht="14.25" customHeight="1"/>
    <row r="32" spans="22:3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31">
    <mergeCell ref="AG8:AG9"/>
    <mergeCell ref="AH8:AI8"/>
    <mergeCell ref="AG7:AI7"/>
    <mergeCell ref="AJ7:AJ9"/>
    <mergeCell ref="AK7:AK9"/>
    <mergeCell ref="AA8:AA9"/>
    <mergeCell ref="AB8:AB9"/>
    <mergeCell ref="R7:R9"/>
    <mergeCell ref="S7:S9"/>
    <mergeCell ref="T7:AA7"/>
    <mergeCell ref="AB7:AC7"/>
    <mergeCell ref="T8:U8"/>
    <mergeCell ref="V8:W8"/>
    <mergeCell ref="X8:X9"/>
    <mergeCell ref="Y8:Y9"/>
    <mergeCell ref="Z8:Z9"/>
    <mergeCell ref="AD7:AE7"/>
    <mergeCell ref="AF7:AF9"/>
    <mergeCell ref="AC8:AC9"/>
    <mergeCell ref="AD8:AD9"/>
    <mergeCell ref="AE8:AE9"/>
    <mergeCell ref="W6:Y6"/>
    <mergeCell ref="A7:A8"/>
    <mergeCell ref="B7:B8"/>
    <mergeCell ref="C7:C8"/>
    <mergeCell ref="D7:D8"/>
    <mergeCell ref="M7:M9"/>
    <mergeCell ref="N7:N9"/>
    <mergeCell ref="O7:O9"/>
    <mergeCell ref="P7:P9"/>
    <mergeCell ref="Q7:Q9"/>
  </mergeCells>
  <dataValidations count="2">
    <dataValidation type="list" allowBlank="1" showErrorMessage="1" sqref="AH11:AH12 AH16" xr:uid="{76DDC4BE-8DA8-4806-AA06-0C859A7BE9F4}">
      <formula1>"Own,Other"</formula1>
    </dataValidation>
    <dataValidation type="list" allowBlank="1" showErrorMessage="1" sqref="AK11:AK12 AK16" xr:uid="{AD067FBC-EA6F-4E5A-BF4E-5CE56C6F1409}">
      <formula1>"Working,Left"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Royal eksar</vt:lpstr>
      <vt:lpstr>Shreeya</vt:lpstr>
      <vt:lpstr>Sanjay Puri</vt:lpstr>
      <vt:lpstr>AMBE OFFICE - STAFF SAL</vt:lpstr>
      <vt:lpstr>Ruparel_elra (2)</vt:lpstr>
      <vt:lpstr>Common washroom</vt:lpstr>
      <vt:lpstr>Min_CHS</vt:lpstr>
      <vt:lpstr>Ceejay</vt:lpstr>
      <vt:lpstr>Min_LO</vt:lpstr>
      <vt:lpstr>Palacio</vt:lpstr>
      <vt:lpstr>ACME</vt:lpstr>
      <vt:lpstr>Bp_infra </vt:lpstr>
      <vt:lpstr>Min_SALES OFFICE</vt:lpstr>
      <vt:lpstr>AMBE-ROUNDER</vt:lpstr>
      <vt:lpstr>AMBE-ROUNDER - updated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 Service</dc:creator>
  <cp:lastModifiedBy>Nandani Thakur</cp:lastModifiedBy>
  <dcterms:created xsi:type="dcterms:W3CDTF">2024-12-07T11:15:15Z</dcterms:created>
  <dcterms:modified xsi:type="dcterms:W3CDTF">2025-11-27T11:19:02Z</dcterms:modified>
</cp:coreProperties>
</file>