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1. COMPANIES\AMBE SERVICE FACILITIES PVT LTD\1.2025-26-AMBE_SERVICE_FACILITY_PVT_LTD\ACCOUNTS &amp; FINANCES\INVOICE\1. MANPOWER_INVOICE\oct\"/>
    </mc:Choice>
  </mc:AlternateContent>
  <xr:revisionPtr revIDLastSave="0" documentId="13_ncr:1_{E1E385D6-3DB2-46BF-B7F0-0CFE039849AF}" xr6:coauthVersionLast="47" xr6:coauthVersionMax="47" xr10:uidLastSave="{00000000-0000-0000-0000-000000000000}"/>
  <bookViews>
    <workbookView xWindow="-108" yWindow="-108" windowWidth="23256" windowHeight="12456" tabRatio="846" firstSheet="7" activeTab="8" xr2:uid="{00000000-000D-0000-FFFF-FFFF00000000}"/>
  </bookViews>
  <sheets>
    <sheet name="MINCHSL__LO_PI  (3)" sheetId="29" r:id="rId1"/>
    <sheet name="MINCHSL__LO_PI " sheetId="23" r:id="rId2"/>
    <sheet name="MINCHSL__LO_TI-24" sheetId="27" r:id="rId3"/>
    <sheet name="MINCHSL_PF_HK_PI  " sheetId="25" r:id="rId4"/>
    <sheet name="MINCHSL_PF_HK_PI   (2)" sheetId="26" r:id="rId5"/>
    <sheet name="MINCHSL_PF_HK_TI-25" sheetId="28" r:id="rId6"/>
    <sheet name="Ajmera PI-key -sept " sheetId="32" r:id="rId7"/>
    <sheet name="Ajmera PI-key -sept  (2)" sheetId="33" r:id="rId8"/>
    <sheet name="Ajmera-Key-sept- TI" sheetId="35" r:id="rId9"/>
    <sheet name="Ajmera PI-HK-OCT" sheetId="20" r:id="rId10"/>
    <sheet name="Ajmera-HK-OCT-TI" sheetId="36" r:id="rId11"/>
    <sheet name="Ajmera PI-key -oct" sheetId="30" r:id="rId12"/>
    <sheet name="Ajmera PI-key -oct (2)" sheetId="34" r:id="rId13"/>
    <sheet name="Ajmera-key_oct-TI" sheetId="37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37" l="1"/>
  <c r="G32" i="37" s="1"/>
  <c r="G19" i="37"/>
  <c r="G18" i="37"/>
  <c r="G18" i="36"/>
  <c r="G17" i="36"/>
  <c r="G27" i="36" s="1"/>
  <c r="G28" i="36" s="1"/>
  <c r="G31" i="36" s="1"/>
  <c r="G19" i="35"/>
  <c r="G18" i="35"/>
  <c r="G28" i="35" s="1"/>
  <c r="G32" i="35" s="1"/>
  <c r="G19" i="34"/>
  <c r="G18" i="34"/>
  <c r="G28" i="34" s="1"/>
  <c r="G32" i="34" s="1"/>
  <c r="G19" i="33"/>
  <c r="G18" i="33"/>
  <c r="G28" i="33" s="1"/>
  <c r="G32" i="33" s="1"/>
  <c r="G17" i="20"/>
  <c r="G34" i="37" l="1"/>
  <c r="G36" i="37" s="1"/>
  <c r="G38" i="37" s="1"/>
  <c r="G33" i="37"/>
  <c r="G33" i="36"/>
  <c r="G32" i="36"/>
  <c r="G35" i="36" s="1"/>
  <c r="G37" i="36" s="1"/>
  <c r="G36" i="35"/>
  <c r="G38" i="35" s="1"/>
  <c r="G34" i="35"/>
  <c r="G33" i="35"/>
  <c r="G34" i="34"/>
  <c r="G33" i="34"/>
  <c r="G34" i="33"/>
  <c r="G33" i="33"/>
  <c r="G35" i="30"/>
  <c r="G32" i="30"/>
  <c r="G31" i="30"/>
  <c r="G17" i="30"/>
  <c r="G17" i="32"/>
  <c r="G27" i="32" s="1"/>
  <c r="G28" i="32" s="1"/>
  <c r="G31" i="32" s="1"/>
  <c r="G18" i="32"/>
  <c r="G36" i="34" l="1"/>
  <c r="G38" i="34" s="1"/>
  <c r="G36" i="33"/>
  <c r="G38" i="33" s="1"/>
  <c r="G33" i="32"/>
  <c r="G32" i="32"/>
  <c r="G35" i="32" l="1"/>
  <c r="G37" i="32" s="1"/>
  <c r="G18" i="30" l="1"/>
  <c r="G27" i="30"/>
  <c r="G28" i="30" s="1"/>
  <c r="G34" i="27"/>
  <c r="G36" i="27" s="1"/>
  <c r="G16" i="29"/>
  <c r="G27" i="29" s="1"/>
  <c r="G33" i="30" l="1"/>
  <c r="G30" i="29"/>
  <c r="G28" i="29"/>
  <c r="G37" i="30" l="1"/>
  <c r="G32" i="29"/>
  <c r="G31" i="29"/>
  <c r="G36" i="29" s="1"/>
  <c r="G30" i="28" l="1"/>
  <c r="G28" i="28"/>
  <c r="G27" i="28"/>
  <c r="G17" i="28"/>
  <c r="G16" i="28"/>
  <c r="G36" i="26"/>
  <c r="G34" i="26"/>
  <c r="G27" i="27"/>
  <c r="G17" i="23"/>
  <c r="G34" i="28" l="1"/>
  <c r="G36" i="28" s="1"/>
  <c r="G31" i="28"/>
  <c r="G32" i="28"/>
  <c r="G16" i="27"/>
  <c r="G17" i="26"/>
  <c r="G16" i="26"/>
  <c r="G27" i="26" s="1"/>
  <c r="G28" i="27" l="1"/>
  <c r="G30" i="27"/>
  <c r="G28" i="26"/>
  <c r="G30" i="26"/>
  <c r="G32" i="27" l="1"/>
  <c r="G31" i="27"/>
  <c r="G32" i="26"/>
  <c r="G31" i="26"/>
  <c r="G16" i="25" l="1"/>
  <c r="G16" i="23"/>
  <c r="G17" i="25" l="1"/>
  <c r="G27" i="25"/>
  <c r="G28" i="25" l="1"/>
  <c r="G30" i="25" s="1"/>
  <c r="G27" i="20"/>
  <c r="G28" i="20" s="1"/>
  <c r="G31" i="25" l="1"/>
  <c r="G32" i="25"/>
  <c r="G27" i="23"/>
  <c r="G28" i="23" s="1"/>
  <c r="G30" i="23" s="1"/>
  <c r="G36" i="25" l="1"/>
  <c r="G32" i="23"/>
  <c r="G31" i="23"/>
  <c r="G36" i="23" s="1"/>
  <c r="G18" i="20" l="1"/>
  <c r="G31" i="20" l="1"/>
  <c r="G32" i="20" l="1"/>
  <c r="G33" i="20"/>
  <c r="G35" i="20" l="1"/>
  <c r="G37" i="20" s="1"/>
</calcChain>
</file>

<file path=xl/sharedStrings.xml><?xml version="1.0" encoding="utf-8"?>
<sst xmlns="http://schemas.openxmlformats.org/spreadsheetml/2006/main" count="641" uniqueCount="98">
  <si>
    <t>AMBE SERVICE FACILITIES PRIVATE LIMITED</t>
  </si>
  <si>
    <t>Ganesh Nagar, Kandivali (West), Mumbai 400 067.</t>
  </si>
  <si>
    <t>Contact No: 022 45066566 / 9619607537</t>
  </si>
  <si>
    <t>Email : contact@ambeservice.com / Website : ambeservice.com</t>
  </si>
  <si>
    <t>CIN NO. : U80200MH2023PTC412420</t>
  </si>
  <si>
    <t>GSTIN :  27AAZCA5609F1ZA</t>
  </si>
  <si>
    <t>Name &amp; Add of Party</t>
  </si>
  <si>
    <t>Work Order Ref No. :</t>
  </si>
  <si>
    <t xml:space="preserve">Work Order Period : </t>
  </si>
  <si>
    <t>Sr No</t>
  </si>
  <si>
    <t>Description of Services</t>
  </si>
  <si>
    <t>Rate</t>
  </si>
  <si>
    <t>Persons</t>
  </si>
  <si>
    <r>
      <t xml:space="preserve">Amount </t>
    </r>
    <r>
      <rPr>
        <sz val="8"/>
        <color theme="1"/>
        <rFont val="Calibri"/>
        <family val="2"/>
        <scheme val="minor"/>
      </rPr>
      <t>(RS)</t>
    </r>
  </si>
  <si>
    <t>Housekeeper</t>
  </si>
  <si>
    <t>Overtime in hours (HouseKeeper)</t>
  </si>
  <si>
    <t>Sub Total</t>
  </si>
  <si>
    <t>Management charges @ 5%</t>
  </si>
  <si>
    <t>Bank Details</t>
  </si>
  <si>
    <t xml:space="preserve">Bank Name :  Axis bank </t>
  </si>
  <si>
    <t xml:space="preserve">Total </t>
  </si>
  <si>
    <t>Acc no : 924020001871570</t>
  </si>
  <si>
    <t>Add CGST @ 9%</t>
  </si>
  <si>
    <t>IFSC Code: UTIB0001572   Branch: kandivali west,Link Road.</t>
  </si>
  <si>
    <t>Add SGST @ 9%</t>
  </si>
  <si>
    <t xml:space="preserve">Amount Chargeble in words(INR) : </t>
  </si>
  <si>
    <t>Total Amount</t>
  </si>
  <si>
    <t xml:space="preserve">Terms &amp; condition : 
Payment can only be done in cheque/DD, NEFT, RTGS </t>
  </si>
  <si>
    <t xml:space="preserve">For Ambe Service Facilities Pvt Ltd  
Authorized signatory
</t>
  </si>
  <si>
    <t>We thank you very much for valuable interest shown in our organzaion. We would like to submit  our bill for providing our services.</t>
  </si>
  <si>
    <t xml:space="preserve">Shop No - 49 A, Ground Floor, Pooja Enclave CHS Ltd, </t>
  </si>
  <si>
    <t>Lokhandwala Minerva CHS LTD (Prop.)</t>
  </si>
  <si>
    <t>LMCHS/VBP/23/24-25</t>
  </si>
  <si>
    <t>J.R. Boricha Marg. Mahalaxmi, Mumbai- 400011.</t>
  </si>
  <si>
    <t>GSTIN : 27AAACL5105AIZ7</t>
  </si>
  <si>
    <t>1st march 2025 -31st December 2025</t>
  </si>
  <si>
    <t>HSN 
Code</t>
  </si>
  <si>
    <t>LMCHS/VBP/24/24-25</t>
  </si>
  <si>
    <t>1st April 2025 - 31st December 2025</t>
  </si>
  <si>
    <t>Working
 Days</t>
  </si>
  <si>
    <t>Lift Operator</t>
  </si>
  <si>
    <t>Overtime in hours (Lift Operator)</t>
  </si>
  <si>
    <t xml:space="preserve">For Ambe Service Facilities Pvt Ltd  
Authorized signatory
</t>
  </si>
  <si>
    <t>M/S. AJMERA REALTY &amp; INFRA INDIA LTD</t>
  </si>
  <si>
    <t>Bhakti Park wadala Mumbai-40037</t>
  </si>
  <si>
    <t>Contact No: +91 99875 23683</t>
  </si>
  <si>
    <t>Email :  akash@ajmera.com</t>
  </si>
  <si>
    <t>GSTIN : 27AAACS7866F1Z2</t>
  </si>
  <si>
    <t>HSN Code</t>
  </si>
  <si>
    <t>Working 
Days</t>
  </si>
  <si>
    <t xml:space="preserve">                  </t>
  </si>
  <si>
    <t>Management charges @ 7%</t>
  </si>
  <si>
    <t>Material Charges</t>
  </si>
  <si>
    <t xml:space="preserve"> </t>
  </si>
  <si>
    <t>Billing Period :1st to 31st October  2025</t>
  </si>
  <si>
    <t>Proforma Invoice No :  ASF/P/25-26/023</t>
  </si>
  <si>
    <t>Date:  06 November 2025</t>
  </si>
  <si>
    <t>Proforma Invoice No :  ASF/P/25-26/024</t>
  </si>
  <si>
    <t>Date:  12 November 2025</t>
  </si>
  <si>
    <t>Three Lakh Twenty Five Thousand  Six Hundred</t>
  </si>
  <si>
    <t>Sixty Five Only</t>
  </si>
  <si>
    <t xml:space="preserve">One Lakh Twenty One Thousand Eight Hundred  </t>
  </si>
  <si>
    <t>And Twenty Six Only</t>
  </si>
  <si>
    <t>Three Lakh Twenty Five Thousand  Two Hundred</t>
  </si>
  <si>
    <t>Thirty Eight Only</t>
  </si>
  <si>
    <t>Proforma Invoice No :  ASF/P/25-26/025</t>
  </si>
  <si>
    <t xml:space="preserve">Total Amount </t>
  </si>
  <si>
    <t xml:space="preserve">Housekeeping </t>
  </si>
  <si>
    <t>Overtime in hours (Housekeeping)</t>
  </si>
  <si>
    <t>Work Order No.:  MHTWOS0007425-26</t>
  </si>
  <si>
    <t>Work Order Date:  17-06-2025</t>
  </si>
  <si>
    <r>
      <rPr>
        <sz val="10"/>
        <color theme="1"/>
        <rFont val="Calibri"/>
        <family val="2"/>
        <scheme val="minor"/>
      </rPr>
      <t>Work Order Period</t>
    </r>
    <r>
      <rPr>
        <sz val="11"/>
        <color theme="1"/>
        <rFont val="Calibri"/>
        <family val="2"/>
        <scheme val="minor"/>
      </rPr>
      <t>: 01/06/2025-30/11/2025</t>
    </r>
  </si>
  <si>
    <t>Round off (+-)</t>
  </si>
  <si>
    <t>And Twenty Five Only</t>
  </si>
  <si>
    <t>Invoice No :  ASF/25-26/024</t>
  </si>
  <si>
    <t>Invoice No :  ASF/25-26/025</t>
  </si>
  <si>
    <t>Date:  20 November 2025</t>
  </si>
  <si>
    <t>Proforma Invoice No :  ASF/P/25-26/021</t>
  </si>
  <si>
    <t>Billing Period :1st to 30th September  2025</t>
  </si>
  <si>
    <t>Key Supervisor</t>
  </si>
  <si>
    <t>Overtime in hours (Key Supervisor)</t>
  </si>
  <si>
    <t>Thirty Two Thousand Six Hundred and Seventeen Only</t>
  </si>
  <si>
    <t>Work Order No.:  MHTWOS0015825-26</t>
  </si>
  <si>
    <t>Work Order Date:  10-10-2025</t>
  </si>
  <si>
    <r>
      <rPr>
        <sz val="10"/>
        <color theme="1"/>
        <rFont val="Calibri"/>
        <family val="2"/>
        <scheme val="minor"/>
      </rPr>
      <t>Work Order Period</t>
    </r>
    <r>
      <rPr>
        <sz val="11"/>
        <color theme="1"/>
        <rFont val="Calibri"/>
        <family val="2"/>
        <scheme val="minor"/>
      </rPr>
      <t>: 01/09/2025-31/03/2026</t>
    </r>
  </si>
  <si>
    <t>Sr
 No</t>
  </si>
  <si>
    <t>Date:  22 November 2025</t>
  </si>
  <si>
    <t>Proforma Invoice No :  ASF/P/25-26/026</t>
  </si>
  <si>
    <t>Sixty Three Thousand One Hundred and Thirty Only</t>
  </si>
  <si>
    <t>Thirty Four Only</t>
  </si>
  <si>
    <t xml:space="preserve">One Lakh Nine Thousand Six Hundred and </t>
  </si>
  <si>
    <r>
      <rPr>
        <sz val="10"/>
        <color theme="1"/>
        <rFont val="Calibri"/>
        <family val="2"/>
        <scheme val="minor"/>
      </rPr>
      <t>Project Name :</t>
    </r>
    <r>
      <rPr>
        <b/>
        <sz val="10"/>
        <color theme="1"/>
        <rFont val="Calibri"/>
        <family val="2"/>
        <scheme val="minor"/>
      </rPr>
      <t xml:space="preserve"> Ajmera Manhattan</t>
    </r>
  </si>
  <si>
    <t>Thirty  Thousand Four Hundred and Eighty Three Only</t>
  </si>
  <si>
    <t>Fifty Nine Thousand Only</t>
  </si>
  <si>
    <t>Invoice No :  ASF/25-26/026</t>
  </si>
  <si>
    <t>Date:  24 November 2025</t>
  </si>
  <si>
    <t>Invoice No :  ASF/25-26/027</t>
  </si>
  <si>
    <t>Invoice No :  ASF/25-26/028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</si>
</sst>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Bookman Old Style"/>
      <family val="1"/>
    </font>
    <font>
      <b/>
      <sz val="10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0.5"/>
      <color theme="1"/>
      <name val="Calibri"/>
      <family val="2"/>
      <scheme val="minor"/>
    </font>
    <font>
      <sz val="18"/>
      <color rgb="FF6D2823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3" fillId="0" borderId="6" xfId="0" applyFont="1" applyBorder="1"/>
    <xf numFmtId="0" fontId="3" fillId="0" borderId="7" xfId="0" applyFont="1" applyBorder="1"/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14" xfId="0" applyBorder="1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4" xfId="0" applyBorder="1"/>
    <xf numFmtId="2" fontId="0" fillId="0" borderId="14" xfId="0" applyNumberFormat="1" applyBorder="1"/>
    <xf numFmtId="0" fontId="0" fillId="0" borderId="13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3" xfId="0" applyBorder="1"/>
    <xf numFmtId="0" fontId="0" fillId="0" borderId="15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5" xfId="0" applyBorder="1" applyAlignment="1">
      <alignment horizontal="right" vertical="center"/>
    </xf>
    <xf numFmtId="3" fontId="0" fillId="0" borderId="15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2" fontId="0" fillId="0" borderId="15" xfId="0" applyNumberFormat="1" applyBorder="1"/>
    <xf numFmtId="0" fontId="0" fillId="0" borderId="15" xfId="0" applyBorder="1"/>
    <xf numFmtId="3" fontId="0" fillId="0" borderId="7" xfId="0" applyNumberFormat="1" applyBorder="1"/>
    <xf numFmtId="2" fontId="0" fillId="0" borderId="13" xfId="0" applyNumberFormat="1" applyBorder="1" applyAlignment="1">
      <alignment horizontal="right"/>
    </xf>
    <xf numFmtId="0" fontId="1" fillId="0" borderId="1" xfId="0" applyFont="1" applyBorder="1" applyAlignment="1">
      <alignment horizontal="left"/>
    </xf>
    <xf numFmtId="2" fontId="0" fillId="0" borderId="14" xfId="0" applyNumberFormat="1" applyBorder="1" applyAlignment="1">
      <alignment horizontal="right"/>
    </xf>
    <xf numFmtId="2" fontId="0" fillId="0" borderId="5" xfId="0" applyNumberFormat="1" applyBorder="1" applyAlignment="1">
      <alignment horizontal="right"/>
    </xf>
    <xf numFmtId="2" fontId="0" fillId="0" borderId="12" xfId="0" applyNumberFormat="1" applyBorder="1"/>
    <xf numFmtId="3" fontId="0" fillId="0" borderId="5" xfId="0" applyNumberFormat="1" applyBorder="1"/>
    <xf numFmtId="3" fontId="0" fillId="0" borderId="15" xfId="0" applyNumberFormat="1" applyBorder="1" applyAlignment="1">
      <alignment horizontal="right"/>
    </xf>
    <xf numFmtId="0" fontId="8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0" xfId="0" applyFont="1"/>
    <xf numFmtId="0" fontId="3" fillId="0" borderId="8" xfId="0" applyFont="1" applyBorder="1"/>
    <xf numFmtId="0" fontId="3" fillId="0" borderId="9" xfId="0" applyFont="1" applyBorder="1"/>
    <xf numFmtId="0" fontId="0" fillId="0" borderId="12" xfId="0" applyBorder="1" applyAlignment="1">
      <alignment horizontal="center"/>
    </xf>
    <xf numFmtId="0" fontId="5" fillId="0" borderId="10" xfId="0" applyFont="1" applyBorder="1"/>
    <xf numFmtId="0" fontId="0" fillId="0" borderId="12" xfId="0" applyBorder="1"/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11" fillId="0" borderId="0" xfId="0" applyFont="1"/>
    <xf numFmtId="0" fontId="12" fillId="0" borderId="0" xfId="0" applyFont="1"/>
    <xf numFmtId="4" fontId="0" fillId="0" borderId="15" xfId="0" applyNumberFormat="1" applyBorder="1" applyAlignment="1">
      <alignment horizontal="right"/>
    </xf>
    <xf numFmtId="4" fontId="0" fillId="0" borderId="5" xfId="0" applyNumberFormat="1" applyBorder="1"/>
    <xf numFmtId="4" fontId="13" fillId="0" borderId="14" xfId="0" applyNumberFormat="1" applyFont="1" applyBorder="1"/>
    <xf numFmtId="2" fontId="0" fillId="0" borderId="5" xfId="0" applyNumberFormat="1" applyBorder="1"/>
    <xf numFmtId="0" fontId="12" fillId="0" borderId="14" xfId="0" applyFont="1" applyBorder="1"/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3" fillId="0" borderId="5" xfId="0" applyFont="1" applyBorder="1"/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0" fillId="0" borderId="8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6" xfId="0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12" xfId="0" applyBorder="1" applyAlignment="1">
      <alignment horizontal="center" vertical="top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2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3" fontId="0" fillId="0" borderId="12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0" fillId="0" borderId="11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6" xfId="0" applyBorder="1" applyAlignment="1">
      <alignment horizontal="right" vertical="top" wrapText="1"/>
    </xf>
    <xf numFmtId="0" fontId="0" fillId="0" borderId="11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9" xfId="0" applyBorder="1" applyAlignment="1">
      <alignment horizontal="right" vertical="top"/>
    </xf>
    <xf numFmtId="0" fontId="0" fillId="0" borderId="10" xfId="0" applyBorder="1" applyAlignment="1">
      <alignment horizontal="right" vertical="top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8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9" fillId="0" borderId="4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14" fillId="0" borderId="4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5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" fillId="0" borderId="1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D28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6B5B1B9-7D0C-4510-9F66-28DBCE4171AA}"/>
            </a:ext>
          </a:extLst>
        </xdr:cNvPr>
        <xdr:cNvCxnSpPr/>
      </xdr:nvCxnSpPr>
      <xdr:spPr>
        <a:xfrm>
          <a:off x="0" y="286512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F7FA38D-4A9E-478D-9FBC-66A307D1A13B}"/>
            </a:ext>
          </a:extLst>
        </xdr:cNvPr>
        <xdr:cNvCxnSpPr/>
      </xdr:nvCxnSpPr>
      <xdr:spPr>
        <a:xfrm flipV="1">
          <a:off x="0" y="45262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0</xdr:rowOff>
    </xdr:from>
    <xdr:to>
      <xdr:col>0</xdr:col>
      <xdr:colOff>0</xdr:colOff>
      <xdr:row>32</xdr:row>
      <xdr:rowOff>6096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F226A54-AC6E-4067-ADFD-ACC50E0505A2}"/>
            </a:ext>
          </a:extLst>
        </xdr:cNvPr>
        <xdr:cNvCxnSpPr/>
      </xdr:nvCxnSpPr>
      <xdr:spPr>
        <a:xfrm flipV="1">
          <a:off x="0" y="5989320"/>
          <a:ext cx="0" cy="60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FA6A8EA-62D6-4BCC-8CAD-C40024777DE6}"/>
            </a:ext>
          </a:extLst>
        </xdr:cNvPr>
        <xdr:cNvCxnSpPr/>
      </xdr:nvCxnSpPr>
      <xdr:spPr>
        <a:xfrm>
          <a:off x="0" y="45262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43</xdr:row>
      <xdr:rowOff>0</xdr:rowOff>
    </xdr:from>
    <xdr:to>
      <xdr:col>0</xdr:col>
      <xdr:colOff>0</xdr:colOff>
      <xdr:row>43</xdr:row>
      <xdr:rowOff>7620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BB8CA9D-78C7-40C0-8D0E-59FC68E101D3}"/>
            </a:ext>
          </a:extLst>
        </xdr:cNvPr>
        <xdr:cNvCxnSpPr/>
      </xdr:nvCxnSpPr>
      <xdr:spPr>
        <a:xfrm>
          <a:off x="0" y="8001000"/>
          <a:ext cx="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45</xdr:row>
      <xdr:rowOff>0</xdr:rowOff>
    </xdr:from>
    <xdr:to>
      <xdr:col>0</xdr:col>
      <xdr:colOff>0</xdr:colOff>
      <xdr:row>45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7C7B5F0-668D-48D7-8A1C-4D18A8398E7A}"/>
            </a:ext>
          </a:extLst>
        </xdr:cNvPr>
        <xdr:cNvCxnSpPr/>
      </xdr:nvCxnSpPr>
      <xdr:spPr>
        <a:xfrm flipV="1">
          <a:off x="0" y="836676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F198D7C-D06A-4982-8FBC-C9637F53AEC5}"/>
            </a:ext>
          </a:extLst>
        </xdr:cNvPr>
        <xdr:cNvCxnSpPr/>
      </xdr:nvCxnSpPr>
      <xdr:spPr>
        <a:xfrm>
          <a:off x="0" y="286512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4FB9983-0566-488D-8B34-3AF4525AB77C}"/>
            </a:ext>
          </a:extLst>
        </xdr:cNvPr>
        <xdr:cNvCxnSpPr/>
      </xdr:nvCxnSpPr>
      <xdr:spPr>
        <a:xfrm>
          <a:off x="0" y="45262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45</xdr:row>
      <xdr:rowOff>0</xdr:rowOff>
    </xdr:from>
    <xdr:to>
      <xdr:col>0</xdr:col>
      <xdr:colOff>0</xdr:colOff>
      <xdr:row>45</xdr:row>
      <xdr:rowOff>8965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7904C69-9F90-4F78-B7D0-5D004FE565CD}"/>
            </a:ext>
          </a:extLst>
        </xdr:cNvPr>
        <xdr:cNvCxnSpPr/>
      </xdr:nvCxnSpPr>
      <xdr:spPr>
        <a:xfrm flipV="1">
          <a:off x="0" y="836676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7D4485C-CCA5-4E0E-8CAA-54F049ABF470}"/>
            </a:ext>
          </a:extLst>
        </xdr:cNvPr>
        <xdr:cNvCxnSpPr/>
      </xdr:nvCxnSpPr>
      <xdr:spPr>
        <a:xfrm>
          <a:off x="0" y="286512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84A69FA-8A46-4A09-9E2C-BA054CDD84D0}"/>
            </a:ext>
          </a:extLst>
        </xdr:cNvPr>
        <xdr:cNvCxnSpPr/>
      </xdr:nvCxnSpPr>
      <xdr:spPr>
        <a:xfrm flipV="1">
          <a:off x="0" y="45262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5ADEFE1-206B-4402-AE16-8DB38F288B6C}"/>
            </a:ext>
          </a:extLst>
        </xdr:cNvPr>
        <xdr:cNvCxnSpPr/>
      </xdr:nvCxnSpPr>
      <xdr:spPr>
        <a:xfrm>
          <a:off x="0" y="45262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45</xdr:row>
      <xdr:rowOff>0</xdr:rowOff>
    </xdr:from>
    <xdr:to>
      <xdr:col>0</xdr:col>
      <xdr:colOff>0</xdr:colOff>
      <xdr:row>45</xdr:row>
      <xdr:rowOff>8965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46B34612-B29A-4AE5-A4AC-58BC0F28A2FC}"/>
            </a:ext>
          </a:extLst>
        </xdr:cNvPr>
        <xdr:cNvCxnSpPr/>
      </xdr:nvCxnSpPr>
      <xdr:spPr>
        <a:xfrm flipV="1">
          <a:off x="0" y="836676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</xdr:row>
      <xdr:rowOff>0</xdr:rowOff>
    </xdr:from>
    <xdr:to>
      <xdr:col>0</xdr:col>
      <xdr:colOff>0</xdr:colOff>
      <xdr:row>34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97DF9F8-C8C5-4BCB-8067-D6749492338D}"/>
            </a:ext>
          </a:extLst>
        </xdr:cNvPr>
        <xdr:cNvCxnSpPr/>
      </xdr:nvCxnSpPr>
      <xdr:spPr>
        <a:xfrm>
          <a:off x="0" y="63550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</xdr:row>
      <xdr:rowOff>0</xdr:rowOff>
    </xdr:from>
    <xdr:to>
      <xdr:col>0</xdr:col>
      <xdr:colOff>0</xdr:colOff>
      <xdr:row>34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61CF57DB-17CD-4C9A-9DB4-1EA6409547C0}"/>
            </a:ext>
          </a:extLst>
        </xdr:cNvPr>
        <xdr:cNvCxnSpPr/>
      </xdr:nvCxnSpPr>
      <xdr:spPr>
        <a:xfrm>
          <a:off x="0" y="63550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3F786F4F-35C7-4105-BC84-39B7180B8F3D}"/>
            </a:ext>
          </a:extLst>
        </xdr:cNvPr>
        <xdr:cNvCxnSpPr/>
      </xdr:nvCxnSpPr>
      <xdr:spPr>
        <a:xfrm>
          <a:off x="0" y="1395398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5E92FC5A-7BEB-43C6-A07F-A942F4A88F8B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</xdr:row>
      <xdr:rowOff>185351</xdr:rowOff>
    </xdr:from>
    <xdr:to>
      <xdr:col>0</xdr:col>
      <xdr:colOff>3021</xdr:colOff>
      <xdr:row>42</xdr:row>
      <xdr:rowOff>7620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2E7887CD-D841-4299-864E-E65F5F8F51C9}"/>
            </a:ext>
          </a:extLst>
        </xdr:cNvPr>
        <xdr:cNvCxnSpPr/>
      </xdr:nvCxnSpPr>
      <xdr:spPr>
        <a:xfrm>
          <a:off x="0" y="7820591"/>
          <a:ext cx="3021" cy="514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80683</xdr:colOff>
      <xdr:row>11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F73FF092-3BF7-46D6-B326-D371AF4776A1}"/>
            </a:ext>
          </a:extLst>
        </xdr:cNvPr>
        <xdr:cNvCxnSpPr/>
      </xdr:nvCxnSpPr>
      <xdr:spPr>
        <a:xfrm>
          <a:off x="0" y="213360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</xdr:row>
      <xdr:rowOff>170330</xdr:rowOff>
    </xdr:from>
    <xdr:to>
      <xdr:col>0</xdr:col>
      <xdr:colOff>17930</xdr:colOff>
      <xdr:row>32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D157271F-D048-41A0-A1BA-E8A8738E5E03}"/>
            </a:ext>
          </a:extLst>
        </xdr:cNvPr>
        <xdr:cNvCxnSpPr/>
      </xdr:nvCxnSpPr>
      <xdr:spPr>
        <a:xfrm>
          <a:off x="0" y="5976770"/>
          <a:ext cx="17930" cy="12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8ADCC11D-AC41-4587-BAC6-0A3E4FC3FC2A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80683</xdr:colOff>
      <xdr:row>11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E08C95C5-1C95-48C3-967F-869625B0E658}"/>
            </a:ext>
          </a:extLst>
        </xdr:cNvPr>
        <xdr:cNvCxnSpPr/>
      </xdr:nvCxnSpPr>
      <xdr:spPr>
        <a:xfrm>
          <a:off x="0" y="213360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87B4C365-994F-49A0-810E-C80319F32AA4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11151</xdr:colOff>
      <xdr:row>16</xdr:row>
      <xdr:rowOff>7434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ABA923CC-88C7-49AF-BE36-272EB7F40D34}"/>
            </a:ext>
          </a:extLst>
        </xdr:cNvPr>
        <xdr:cNvCxnSpPr/>
      </xdr:nvCxnSpPr>
      <xdr:spPr>
        <a:xfrm>
          <a:off x="0" y="3048000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25553B80-58E0-40DD-BDF4-D52E8BBCB1D7}"/>
            </a:ext>
          </a:extLst>
        </xdr:cNvPr>
        <xdr:cNvCxnSpPr/>
      </xdr:nvCxnSpPr>
      <xdr:spPr>
        <a:xfrm>
          <a:off x="0" y="1395398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FD60FB22-6D7D-4C34-874B-B519BCAFEDB9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78FA0BE-DF53-4D24-8DD8-76686D1C03D1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7B94B9AA-1B70-4EB4-B0F4-5652A339A3F4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40CDBF53-0D0E-458C-83A5-13BEFE1A949C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DE41505-DBC6-4418-BEC5-CDC460ABEBA2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534613AF-C30D-4A47-B479-1F4B2BCA9B5D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C34EBE7A-A309-4671-A6B5-4FEAA2A3D68A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8C0271FB-3392-4E86-B17B-D87DF7648F88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3B1CA704-B6F4-46D2-8615-29D54D57FE7C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534E32E2-CD49-4FEF-B84B-82866744738E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4F6EDA53-66AD-4E22-ACD9-3CC06B8CC1CE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5141EBB8-4770-4729-9A82-61A67770486B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B361825E-E06E-4029-80CD-FF6F749E23AF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27A506F-F09A-44CE-9ED3-FE006C515DC5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9BA8EF45-CB3F-42C8-8625-AC8D16224BC5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7729CA32-9266-46C7-B315-6320BE603AAF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A952397-8838-457C-A3C9-935EF2F04CCF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2463D580-9D01-4C01-B800-B0DF4C23B71C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69074597-C71D-4E49-9354-986EDA8FA425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509ED7D8-67B8-4F55-9053-CD27D6B28F3A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13D8D8EF-70CA-4062-996E-DF3EA5DED9A6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0FA8065-2998-41FA-99DB-5FB4B791F675}"/>
            </a:ext>
          </a:extLst>
        </xdr:cNvPr>
        <xdr:cNvCxnSpPr/>
      </xdr:nvCxnSpPr>
      <xdr:spPr>
        <a:xfrm>
          <a:off x="0" y="295275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E32502E-D816-46CC-89C3-94FC10931EDC}"/>
            </a:ext>
          </a:extLst>
        </xdr:cNvPr>
        <xdr:cNvCxnSpPr/>
      </xdr:nvCxnSpPr>
      <xdr:spPr>
        <a:xfrm flipV="1">
          <a:off x="0" y="466725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0</xdr:rowOff>
    </xdr:from>
    <xdr:to>
      <xdr:col>0</xdr:col>
      <xdr:colOff>0</xdr:colOff>
      <xdr:row>32</xdr:row>
      <xdr:rowOff>6096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2F590FC-9E81-4439-8B08-55DD40877A30}"/>
            </a:ext>
          </a:extLst>
        </xdr:cNvPr>
        <xdr:cNvCxnSpPr/>
      </xdr:nvCxnSpPr>
      <xdr:spPr>
        <a:xfrm flipV="1">
          <a:off x="0" y="6172200"/>
          <a:ext cx="0" cy="60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FE3A14D-6E85-4263-AAC9-DA851917482A}"/>
            </a:ext>
          </a:extLst>
        </xdr:cNvPr>
        <xdr:cNvCxnSpPr/>
      </xdr:nvCxnSpPr>
      <xdr:spPr>
        <a:xfrm>
          <a:off x="0" y="466725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43</xdr:row>
      <xdr:rowOff>0</xdr:rowOff>
    </xdr:from>
    <xdr:to>
      <xdr:col>0</xdr:col>
      <xdr:colOff>0</xdr:colOff>
      <xdr:row>43</xdr:row>
      <xdr:rowOff>7620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7B2F7AF-FBB5-4438-801E-622192654B30}"/>
            </a:ext>
          </a:extLst>
        </xdr:cNvPr>
        <xdr:cNvCxnSpPr/>
      </xdr:nvCxnSpPr>
      <xdr:spPr>
        <a:xfrm>
          <a:off x="0" y="8248650"/>
          <a:ext cx="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45</xdr:row>
      <xdr:rowOff>0</xdr:rowOff>
    </xdr:from>
    <xdr:to>
      <xdr:col>0</xdr:col>
      <xdr:colOff>0</xdr:colOff>
      <xdr:row>45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07D6024-E511-4144-9226-69DFD845135C}"/>
            </a:ext>
          </a:extLst>
        </xdr:cNvPr>
        <xdr:cNvCxnSpPr/>
      </xdr:nvCxnSpPr>
      <xdr:spPr>
        <a:xfrm flipV="1">
          <a:off x="0" y="861060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1E988CD-6CA5-464C-BA6B-3D741A89AB8F}"/>
            </a:ext>
          </a:extLst>
        </xdr:cNvPr>
        <xdr:cNvCxnSpPr/>
      </xdr:nvCxnSpPr>
      <xdr:spPr>
        <a:xfrm>
          <a:off x="0" y="295275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76753BF-2454-4E8B-B838-F9F18D1DCE0B}"/>
            </a:ext>
          </a:extLst>
        </xdr:cNvPr>
        <xdr:cNvCxnSpPr/>
      </xdr:nvCxnSpPr>
      <xdr:spPr>
        <a:xfrm>
          <a:off x="0" y="466725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45</xdr:row>
      <xdr:rowOff>0</xdr:rowOff>
    </xdr:from>
    <xdr:to>
      <xdr:col>0</xdr:col>
      <xdr:colOff>0</xdr:colOff>
      <xdr:row>45</xdr:row>
      <xdr:rowOff>8965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BC0E248-437B-4FF2-B6A3-03359FAEDE5C}"/>
            </a:ext>
          </a:extLst>
        </xdr:cNvPr>
        <xdr:cNvCxnSpPr/>
      </xdr:nvCxnSpPr>
      <xdr:spPr>
        <a:xfrm flipV="1">
          <a:off x="0" y="861060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F46652E-B411-477A-B8BE-2E8993A522F6}"/>
            </a:ext>
          </a:extLst>
        </xdr:cNvPr>
        <xdr:cNvCxnSpPr/>
      </xdr:nvCxnSpPr>
      <xdr:spPr>
        <a:xfrm>
          <a:off x="0" y="295275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42C2152-0806-433C-BB09-A2127BD201C8}"/>
            </a:ext>
          </a:extLst>
        </xdr:cNvPr>
        <xdr:cNvCxnSpPr/>
      </xdr:nvCxnSpPr>
      <xdr:spPr>
        <a:xfrm flipV="1">
          <a:off x="0" y="466725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969238D7-E272-4C16-A381-2E7C40F42163}"/>
            </a:ext>
          </a:extLst>
        </xdr:cNvPr>
        <xdr:cNvCxnSpPr/>
      </xdr:nvCxnSpPr>
      <xdr:spPr>
        <a:xfrm>
          <a:off x="0" y="466725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45</xdr:row>
      <xdr:rowOff>0</xdr:rowOff>
    </xdr:from>
    <xdr:to>
      <xdr:col>0</xdr:col>
      <xdr:colOff>0</xdr:colOff>
      <xdr:row>45</xdr:row>
      <xdr:rowOff>8965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824B2F78-EB2E-4BDD-ACF8-FD2E8733A575}"/>
            </a:ext>
          </a:extLst>
        </xdr:cNvPr>
        <xdr:cNvCxnSpPr/>
      </xdr:nvCxnSpPr>
      <xdr:spPr>
        <a:xfrm flipV="1">
          <a:off x="0" y="861060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</xdr:row>
      <xdr:rowOff>0</xdr:rowOff>
    </xdr:from>
    <xdr:to>
      <xdr:col>0</xdr:col>
      <xdr:colOff>0</xdr:colOff>
      <xdr:row>34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D8B68503-F04F-4A46-A964-5AA0DE397486}"/>
            </a:ext>
          </a:extLst>
        </xdr:cNvPr>
        <xdr:cNvCxnSpPr/>
      </xdr:nvCxnSpPr>
      <xdr:spPr>
        <a:xfrm>
          <a:off x="0" y="65532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</xdr:row>
      <xdr:rowOff>0</xdr:rowOff>
    </xdr:from>
    <xdr:to>
      <xdr:col>0</xdr:col>
      <xdr:colOff>0</xdr:colOff>
      <xdr:row>34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F9B82DAD-1DD2-4310-8A5F-1ACD2ECB43E5}"/>
            </a:ext>
          </a:extLst>
        </xdr:cNvPr>
        <xdr:cNvCxnSpPr/>
      </xdr:nvCxnSpPr>
      <xdr:spPr>
        <a:xfrm>
          <a:off x="0" y="65532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6319D5B9-02C1-4D32-B7D0-ECDEB7F7E20A}"/>
            </a:ext>
          </a:extLst>
        </xdr:cNvPr>
        <xdr:cNvCxnSpPr/>
      </xdr:nvCxnSpPr>
      <xdr:spPr>
        <a:xfrm>
          <a:off x="0" y="1439213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3DD99F49-1D3B-461D-92A7-F359BA9DDAEB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</xdr:row>
      <xdr:rowOff>185351</xdr:rowOff>
    </xdr:from>
    <xdr:to>
      <xdr:col>0</xdr:col>
      <xdr:colOff>3021</xdr:colOff>
      <xdr:row>42</xdr:row>
      <xdr:rowOff>7620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6F25E775-7F02-43B9-B1D0-8404DF1883A8}"/>
            </a:ext>
          </a:extLst>
        </xdr:cNvPr>
        <xdr:cNvCxnSpPr/>
      </xdr:nvCxnSpPr>
      <xdr:spPr>
        <a:xfrm>
          <a:off x="0" y="8062526"/>
          <a:ext cx="3021" cy="324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80683</xdr:colOff>
      <xdr:row>11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C63B3D1C-D3D7-47C1-A086-CB076CF14F1C}"/>
            </a:ext>
          </a:extLst>
        </xdr:cNvPr>
        <xdr:cNvCxnSpPr/>
      </xdr:nvCxnSpPr>
      <xdr:spPr>
        <a:xfrm>
          <a:off x="0" y="220980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</xdr:row>
      <xdr:rowOff>170330</xdr:rowOff>
    </xdr:from>
    <xdr:to>
      <xdr:col>0</xdr:col>
      <xdr:colOff>17930</xdr:colOff>
      <xdr:row>32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AFE1C119-F6A3-4A36-959D-152A2523890B}"/>
            </a:ext>
          </a:extLst>
        </xdr:cNvPr>
        <xdr:cNvCxnSpPr/>
      </xdr:nvCxnSpPr>
      <xdr:spPr>
        <a:xfrm>
          <a:off x="0" y="6161555"/>
          <a:ext cx="17930" cy="106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E47997A0-5702-47AE-8AF9-BCE6E1905FF5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80683</xdr:colOff>
      <xdr:row>11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DD52DC18-ADAD-4856-B43B-AEB7290D64FF}"/>
            </a:ext>
          </a:extLst>
        </xdr:cNvPr>
        <xdr:cNvCxnSpPr/>
      </xdr:nvCxnSpPr>
      <xdr:spPr>
        <a:xfrm>
          <a:off x="0" y="220980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CB7295A2-0607-42A0-86E2-9C83F0948FD5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11151</xdr:colOff>
      <xdr:row>16</xdr:row>
      <xdr:rowOff>7434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A30F36B8-8927-47B8-81E9-F86A94DA4F60}"/>
            </a:ext>
          </a:extLst>
        </xdr:cNvPr>
        <xdr:cNvCxnSpPr/>
      </xdr:nvCxnSpPr>
      <xdr:spPr>
        <a:xfrm>
          <a:off x="0" y="3143250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40C47DEA-C688-40EA-921C-82008B385984}"/>
            </a:ext>
          </a:extLst>
        </xdr:cNvPr>
        <xdr:cNvCxnSpPr/>
      </xdr:nvCxnSpPr>
      <xdr:spPr>
        <a:xfrm>
          <a:off x="0" y="1439213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1A051B64-3180-4C4C-A778-0ADD5664DC43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4A5D1EE8-B6D0-49C4-84C2-EFB5AB981B72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9C43121B-A4A0-4228-A932-782FC81E93C3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1A46639E-D5E1-4DA0-AC1A-3B2576621273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BDA04F96-41B0-47D6-9CC7-D3656FF670D9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7DE8F41A-4BB8-4640-AD2A-31CB55946BDA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4F4B72B-4509-4250-9330-85A74404B465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7CB99867-D2DF-4D31-850B-1050DBE57CE6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3331B9BE-AC5D-4A8B-B602-BA8548F54EEB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6B58B799-A80D-4975-B533-95D76A4182C6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8C61AF3F-D15E-459F-ABFD-BEBBAA128668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10033CA0-F9AC-484E-B854-5B17FE476430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79BDC219-786B-4FA6-806C-75B989B0F9BF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6729BC38-9236-4295-B40D-BE915BBFE65C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5C473156-B6BF-4191-B292-A674F6167C9F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98CAA077-D5D9-40E4-9D29-0FCFC337D7A9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4FED6616-733E-4BC2-BF90-4C3A27162C06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827CC3EA-0A34-4902-A96C-CF651525044B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CB870C8A-E1D8-4FD5-BCE1-AF77CCE28573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46D9E852-436F-45AF-8A70-B0092A2D1B15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F116EA58-3FCE-4C15-AC48-64576B49C647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D291C32-9E1C-480C-9BF9-F347C7D27DB6}"/>
            </a:ext>
          </a:extLst>
        </xdr:cNvPr>
        <xdr:cNvCxnSpPr/>
      </xdr:nvCxnSpPr>
      <xdr:spPr>
        <a:xfrm>
          <a:off x="0" y="295275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97EAD34-B847-43DE-9682-E182C17D150B}"/>
            </a:ext>
          </a:extLst>
        </xdr:cNvPr>
        <xdr:cNvCxnSpPr/>
      </xdr:nvCxnSpPr>
      <xdr:spPr>
        <a:xfrm flipV="1">
          <a:off x="0" y="466725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0</xdr:rowOff>
    </xdr:from>
    <xdr:to>
      <xdr:col>0</xdr:col>
      <xdr:colOff>0</xdr:colOff>
      <xdr:row>32</xdr:row>
      <xdr:rowOff>6096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34842B2-3AEF-4973-8F26-46902BD7A72A}"/>
            </a:ext>
          </a:extLst>
        </xdr:cNvPr>
        <xdr:cNvCxnSpPr/>
      </xdr:nvCxnSpPr>
      <xdr:spPr>
        <a:xfrm flipV="1">
          <a:off x="0" y="6172200"/>
          <a:ext cx="0" cy="60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B36922B-90C1-43BB-8CC3-14F624CB1644}"/>
            </a:ext>
          </a:extLst>
        </xdr:cNvPr>
        <xdr:cNvCxnSpPr/>
      </xdr:nvCxnSpPr>
      <xdr:spPr>
        <a:xfrm>
          <a:off x="0" y="466725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43</xdr:row>
      <xdr:rowOff>0</xdr:rowOff>
    </xdr:from>
    <xdr:to>
      <xdr:col>0</xdr:col>
      <xdr:colOff>0</xdr:colOff>
      <xdr:row>43</xdr:row>
      <xdr:rowOff>7620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C5704C1-6CD4-45CC-830B-579DEDCE963E}"/>
            </a:ext>
          </a:extLst>
        </xdr:cNvPr>
        <xdr:cNvCxnSpPr/>
      </xdr:nvCxnSpPr>
      <xdr:spPr>
        <a:xfrm>
          <a:off x="0" y="8248650"/>
          <a:ext cx="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45</xdr:row>
      <xdr:rowOff>0</xdr:rowOff>
    </xdr:from>
    <xdr:to>
      <xdr:col>0</xdr:col>
      <xdr:colOff>0</xdr:colOff>
      <xdr:row>45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7BE6005-0C49-46C4-99B6-C846235AB26B}"/>
            </a:ext>
          </a:extLst>
        </xdr:cNvPr>
        <xdr:cNvCxnSpPr/>
      </xdr:nvCxnSpPr>
      <xdr:spPr>
        <a:xfrm flipV="1">
          <a:off x="0" y="861060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F15F4E27-C715-44AC-9203-2EC562DC6261}"/>
            </a:ext>
          </a:extLst>
        </xdr:cNvPr>
        <xdr:cNvCxnSpPr/>
      </xdr:nvCxnSpPr>
      <xdr:spPr>
        <a:xfrm>
          <a:off x="0" y="295275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2D699FA-849F-4EF9-80B0-278A3E0D668B}"/>
            </a:ext>
          </a:extLst>
        </xdr:cNvPr>
        <xdr:cNvCxnSpPr/>
      </xdr:nvCxnSpPr>
      <xdr:spPr>
        <a:xfrm>
          <a:off x="0" y="466725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45</xdr:row>
      <xdr:rowOff>0</xdr:rowOff>
    </xdr:from>
    <xdr:to>
      <xdr:col>0</xdr:col>
      <xdr:colOff>0</xdr:colOff>
      <xdr:row>45</xdr:row>
      <xdr:rowOff>8965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A6B1D070-B4AF-4E2A-AC1A-1B08FD43C9D4}"/>
            </a:ext>
          </a:extLst>
        </xdr:cNvPr>
        <xdr:cNvCxnSpPr/>
      </xdr:nvCxnSpPr>
      <xdr:spPr>
        <a:xfrm flipV="1">
          <a:off x="0" y="861060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F0023D0-8B6B-4944-BB1A-A88654837D69}"/>
            </a:ext>
          </a:extLst>
        </xdr:cNvPr>
        <xdr:cNvCxnSpPr/>
      </xdr:nvCxnSpPr>
      <xdr:spPr>
        <a:xfrm>
          <a:off x="0" y="295275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1C43AC5-C713-494E-A066-254899AF22A1}"/>
            </a:ext>
          </a:extLst>
        </xdr:cNvPr>
        <xdr:cNvCxnSpPr/>
      </xdr:nvCxnSpPr>
      <xdr:spPr>
        <a:xfrm flipV="1">
          <a:off x="0" y="466725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D4A904A-514E-4888-87C3-0FEFEE1B2A3A}"/>
            </a:ext>
          </a:extLst>
        </xdr:cNvPr>
        <xdr:cNvCxnSpPr/>
      </xdr:nvCxnSpPr>
      <xdr:spPr>
        <a:xfrm>
          <a:off x="0" y="466725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45</xdr:row>
      <xdr:rowOff>0</xdr:rowOff>
    </xdr:from>
    <xdr:to>
      <xdr:col>0</xdr:col>
      <xdr:colOff>0</xdr:colOff>
      <xdr:row>45</xdr:row>
      <xdr:rowOff>8965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EEDD7908-7385-4828-8FCA-081A440E84DB}"/>
            </a:ext>
          </a:extLst>
        </xdr:cNvPr>
        <xdr:cNvCxnSpPr/>
      </xdr:nvCxnSpPr>
      <xdr:spPr>
        <a:xfrm flipV="1">
          <a:off x="0" y="861060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</xdr:row>
      <xdr:rowOff>0</xdr:rowOff>
    </xdr:from>
    <xdr:to>
      <xdr:col>0</xdr:col>
      <xdr:colOff>0</xdr:colOff>
      <xdr:row>34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50F1EC80-85BD-4435-8BE3-E3F2E7905E11}"/>
            </a:ext>
          </a:extLst>
        </xdr:cNvPr>
        <xdr:cNvCxnSpPr/>
      </xdr:nvCxnSpPr>
      <xdr:spPr>
        <a:xfrm>
          <a:off x="0" y="65532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</xdr:row>
      <xdr:rowOff>0</xdr:rowOff>
    </xdr:from>
    <xdr:to>
      <xdr:col>0</xdr:col>
      <xdr:colOff>0</xdr:colOff>
      <xdr:row>34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B2F0A37C-06E7-4F7C-BC13-700C992C6BFC}"/>
            </a:ext>
          </a:extLst>
        </xdr:cNvPr>
        <xdr:cNvCxnSpPr/>
      </xdr:nvCxnSpPr>
      <xdr:spPr>
        <a:xfrm>
          <a:off x="0" y="65532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C1BD007D-C966-4622-9E13-CFC8FBB944D7}"/>
            </a:ext>
          </a:extLst>
        </xdr:cNvPr>
        <xdr:cNvCxnSpPr/>
      </xdr:nvCxnSpPr>
      <xdr:spPr>
        <a:xfrm>
          <a:off x="0" y="1439213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ECD4D02F-B12C-4FDF-81EE-B31E34754309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</xdr:row>
      <xdr:rowOff>185351</xdr:rowOff>
    </xdr:from>
    <xdr:to>
      <xdr:col>0</xdr:col>
      <xdr:colOff>3021</xdr:colOff>
      <xdr:row>42</xdr:row>
      <xdr:rowOff>7620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ED874AB-2D63-4AC3-9B6B-736249CB762A}"/>
            </a:ext>
          </a:extLst>
        </xdr:cNvPr>
        <xdr:cNvCxnSpPr/>
      </xdr:nvCxnSpPr>
      <xdr:spPr>
        <a:xfrm>
          <a:off x="0" y="8062526"/>
          <a:ext cx="3021" cy="324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80683</xdr:colOff>
      <xdr:row>11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54BE067-17F5-4567-ABAC-F5B59B49093B}"/>
            </a:ext>
          </a:extLst>
        </xdr:cNvPr>
        <xdr:cNvCxnSpPr/>
      </xdr:nvCxnSpPr>
      <xdr:spPr>
        <a:xfrm>
          <a:off x="0" y="220980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</xdr:row>
      <xdr:rowOff>170330</xdr:rowOff>
    </xdr:from>
    <xdr:to>
      <xdr:col>0</xdr:col>
      <xdr:colOff>17930</xdr:colOff>
      <xdr:row>32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D2F756A-F446-454B-98B8-06E34CEE24CF}"/>
            </a:ext>
          </a:extLst>
        </xdr:cNvPr>
        <xdr:cNvCxnSpPr/>
      </xdr:nvCxnSpPr>
      <xdr:spPr>
        <a:xfrm>
          <a:off x="0" y="6161555"/>
          <a:ext cx="17930" cy="106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8C7EBFA3-7B02-420B-AE90-28468795C49D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80683</xdr:colOff>
      <xdr:row>11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3B3C0ED4-ABD2-4CA9-9B43-8058FE1CA21E}"/>
            </a:ext>
          </a:extLst>
        </xdr:cNvPr>
        <xdr:cNvCxnSpPr/>
      </xdr:nvCxnSpPr>
      <xdr:spPr>
        <a:xfrm>
          <a:off x="0" y="220980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CF82DC00-B234-4F3B-9D95-6F83F7370118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11151</xdr:colOff>
      <xdr:row>16</xdr:row>
      <xdr:rowOff>7434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AAE321E9-AD83-448E-A6E3-0EBB204EBDD9}"/>
            </a:ext>
          </a:extLst>
        </xdr:cNvPr>
        <xdr:cNvCxnSpPr/>
      </xdr:nvCxnSpPr>
      <xdr:spPr>
        <a:xfrm>
          <a:off x="0" y="3143250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44BEB05-1093-40D2-AD4C-0A2EE5320420}"/>
            </a:ext>
          </a:extLst>
        </xdr:cNvPr>
        <xdr:cNvCxnSpPr/>
      </xdr:nvCxnSpPr>
      <xdr:spPr>
        <a:xfrm>
          <a:off x="0" y="1439213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FD74F06-8FC1-4A0F-8F64-CA65199993B4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1C92389E-2691-4E61-AEBC-99D57398745D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5E5F7AC7-DD8F-4157-8EE5-D50BF5DB576C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6139B33C-700E-4269-B2CA-CD66D7993394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9D330316-3D1D-4C7F-AB3E-3A1735A3F4B4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81FB10CA-129A-4785-A7EC-D56169B4E935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3D03C31E-EF46-45F2-B31A-3B06F2F95360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4F50EB26-33DE-442D-9DEB-6FCD198D94C6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E7CCABE7-28A0-4DC0-A455-05B1F182D5A4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E5F311AC-543B-4493-BA8B-BC10B4CC1BE5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29B3D0E8-7162-4D9B-A15B-446E1EE42666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D516A532-F1E7-4701-8761-227748FD4894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77272BD7-6D8D-43B3-97C2-E0E3544D808F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12BCBD82-E15C-479F-91F6-77AED2AF519E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5DDA752-FC76-4698-A95E-2582C61E0163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77D3025C-C689-463A-B685-CBEFE7BF0402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798E1834-1868-481E-B17F-C343E42D51AA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15950466-81A5-459D-AE57-DAC65EFEA409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0A1CA1B-C321-4B57-9603-DB7B116D6533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C54367D9-D189-4E68-9CAA-43B9C78E482B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CADB7C2-EB3D-4487-85CB-03C0D8AA7DD1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C063319-2F18-4190-B91A-D909332F8CAD}"/>
            </a:ext>
          </a:extLst>
        </xdr:cNvPr>
        <xdr:cNvCxnSpPr/>
      </xdr:nvCxnSpPr>
      <xdr:spPr>
        <a:xfrm>
          <a:off x="0" y="29432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FA8F9DE-C27B-43CC-924D-08B75BA8B9F7}"/>
            </a:ext>
          </a:extLst>
        </xdr:cNvPr>
        <xdr:cNvCxnSpPr/>
      </xdr:nvCxnSpPr>
      <xdr:spPr>
        <a:xfrm flipV="1">
          <a:off x="0" y="46577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0</xdr:rowOff>
    </xdr:from>
    <xdr:to>
      <xdr:col>0</xdr:col>
      <xdr:colOff>0</xdr:colOff>
      <xdr:row>32</xdr:row>
      <xdr:rowOff>6096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D0BC729-3D12-434A-A8AF-838D06726AB4}"/>
            </a:ext>
          </a:extLst>
        </xdr:cNvPr>
        <xdr:cNvCxnSpPr/>
      </xdr:nvCxnSpPr>
      <xdr:spPr>
        <a:xfrm flipV="1">
          <a:off x="0" y="6162675"/>
          <a:ext cx="0" cy="60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0F73C8E-77FE-4150-8CB3-2A36189FCECA}"/>
            </a:ext>
          </a:extLst>
        </xdr:cNvPr>
        <xdr:cNvCxnSpPr/>
      </xdr:nvCxnSpPr>
      <xdr:spPr>
        <a:xfrm>
          <a:off x="0" y="46577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7620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02C7CEF-7B70-437E-8B90-D83EF517FD7D}"/>
            </a:ext>
          </a:extLst>
        </xdr:cNvPr>
        <xdr:cNvCxnSpPr/>
      </xdr:nvCxnSpPr>
      <xdr:spPr>
        <a:xfrm>
          <a:off x="0" y="8048625"/>
          <a:ext cx="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</xdr:row>
      <xdr:rowOff>0</xdr:rowOff>
    </xdr:from>
    <xdr:to>
      <xdr:col>0</xdr:col>
      <xdr:colOff>0</xdr:colOff>
      <xdr:row>44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39CBDF1-A2F0-44F9-8061-4CB27A3C895B}"/>
            </a:ext>
          </a:extLst>
        </xdr:cNvPr>
        <xdr:cNvCxnSpPr/>
      </xdr:nvCxnSpPr>
      <xdr:spPr>
        <a:xfrm flipV="1">
          <a:off x="0" y="8410575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91903EF2-4D63-45F3-85C1-C98670E7AAF9}"/>
            </a:ext>
          </a:extLst>
        </xdr:cNvPr>
        <xdr:cNvCxnSpPr/>
      </xdr:nvCxnSpPr>
      <xdr:spPr>
        <a:xfrm>
          <a:off x="0" y="29432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71113F0-73B9-4AAA-91BE-A091DC2F527A}"/>
            </a:ext>
          </a:extLst>
        </xdr:cNvPr>
        <xdr:cNvCxnSpPr/>
      </xdr:nvCxnSpPr>
      <xdr:spPr>
        <a:xfrm>
          <a:off x="0" y="46577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</xdr:row>
      <xdr:rowOff>0</xdr:rowOff>
    </xdr:from>
    <xdr:to>
      <xdr:col>0</xdr:col>
      <xdr:colOff>0</xdr:colOff>
      <xdr:row>44</xdr:row>
      <xdr:rowOff>8965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CE9CCA1-86EC-4DD6-85EA-4639D61C385B}"/>
            </a:ext>
          </a:extLst>
        </xdr:cNvPr>
        <xdr:cNvCxnSpPr/>
      </xdr:nvCxnSpPr>
      <xdr:spPr>
        <a:xfrm flipV="1">
          <a:off x="0" y="8410575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29FEB99-4871-44EA-9B8C-845D52B8C1C4}"/>
            </a:ext>
          </a:extLst>
        </xdr:cNvPr>
        <xdr:cNvCxnSpPr/>
      </xdr:nvCxnSpPr>
      <xdr:spPr>
        <a:xfrm>
          <a:off x="0" y="29432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C053D1E-5120-4D36-BE11-903D54157053}"/>
            </a:ext>
          </a:extLst>
        </xdr:cNvPr>
        <xdr:cNvCxnSpPr/>
      </xdr:nvCxnSpPr>
      <xdr:spPr>
        <a:xfrm flipV="1">
          <a:off x="0" y="46577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40F999FD-F2DF-439D-8411-045524F23ADA}"/>
            </a:ext>
          </a:extLst>
        </xdr:cNvPr>
        <xdr:cNvCxnSpPr/>
      </xdr:nvCxnSpPr>
      <xdr:spPr>
        <a:xfrm>
          <a:off x="0" y="46577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</xdr:row>
      <xdr:rowOff>0</xdr:rowOff>
    </xdr:from>
    <xdr:to>
      <xdr:col>0</xdr:col>
      <xdr:colOff>0</xdr:colOff>
      <xdr:row>44</xdr:row>
      <xdr:rowOff>8965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5E09031E-5CBE-4EFE-8425-E24347613FA2}"/>
            </a:ext>
          </a:extLst>
        </xdr:cNvPr>
        <xdr:cNvCxnSpPr/>
      </xdr:nvCxnSpPr>
      <xdr:spPr>
        <a:xfrm flipV="1">
          <a:off x="0" y="8410575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</xdr:row>
      <xdr:rowOff>0</xdr:rowOff>
    </xdr:from>
    <xdr:to>
      <xdr:col>0</xdr:col>
      <xdr:colOff>0</xdr:colOff>
      <xdr:row>34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630C4DBF-642F-44DB-AE7C-1E105DB6824E}"/>
            </a:ext>
          </a:extLst>
        </xdr:cNvPr>
        <xdr:cNvCxnSpPr/>
      </xdr:nvCxnSpPr>
      <xdr:spPr>
        <a:xfrm>
          <a:off x="0" y="654367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</xdr:row>
      <xdr:rowOff>0</xdr:rowOff>
    </xdr:from>
    <xdr:to>
      <xdr:col>0</xdr:col>
      <xdr:colOff>0</xdr:colOff>
      <xdr:row>34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90B9E64F-EEFC-4974-B320-2DFDFD96D476}"/>
            </a:ext>
          </a:extLst>
        </xdr:cNvPr>
        <xdr:cNvCxnSpPr/>
      </xdr:nvCxnSpPr>
      <xdr:spPr>
        <a:xfrm>
          <a:off x="0" y="654367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7CC3D249-6812-4938-AA82-133EA47A5B75}"/>
            </a:ext>
          </a:extLst>
        </xdr:cNvPr>
        <xdr:cNvCxnSpPr/>
      </xdr:nvCxnSpPr>
      <xdr:spPr>
        <a:xfrm>
          <a:off x="0" y="1439213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</xdr:row>
      <xdr:rowOff>177949</xdr:rowOff>
    </xdr:from>
    <xdr:to>
      <xdr:col>0</xdr:col>
      <xdr:colOff>17930</xdr:colOff>
      <xdr:row>27</xdr:row>
      <xdr:rowOff>177949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8B30CA68-8765-4664-B0A9-4505284E3DDD}"/>
            </a:ext>
          </a:extLst>
        </xdr:cNvPr>
        <xdr:cNvCxnSpPr/>
      </xdr:nvCxnSpPr>
      <xdr:spPr>
        <a:xfrm>
          <a:off x="0" y="5407174"/>
          <a:ext cx="179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B913235B-357B-492A-8F4A-C5CA68752975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40</xdr:row>
      <xdr:rowOff>185351</xdr:rowOff>
    </xdr:from>
    <xdr:to>
      <xdr:col>0</xdr:col>
      <xdr:colOff>3021</xdr:colOff>
      <xdr:row>41</xdr:row>
      <xdr:rowOff>7620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4B210394-CD3B-4BA1-B758-B8F2823B27B1}"/>
            </a:ext>
          </a:extLst>
        </xdr:cNvPr>
        <xdr:cNvCxnSpPr/>
      </xdr:nvCxnSpPr>
      <xdr:spPr>
        <a:xfrm>
          <a:off x="0" y="7862501"/>
          <a:ext cx="3021" cy="324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80683</xdr:colOff>
      <xdr:row>11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DB228D10-0292-41CB-B0E4-D22BD92A8994}"/>
            </a:ext>
          </a:extLst>
        </xdr:cNvPr>
        <xdr:cNvCxnSpPr/>
      </xdr:nvCxnSpPr>
      <xdr:spPr>
        <a:xfrm>
          <a:off x="0" y="2200275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</xdr:row>
      <xdr:rowOff>20594</xdr:rowOff>
    </xdr:from>
    <xdr:to>
      <xdr:col>0</xdr:col>
      <xdr:colOff>91343</xdr:colOff>
      <xdr:row>28</xdr:row>
      <xdr:rowOff>29558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D913C57-8FC2-41A6-B11C-D5F174FAB057}"/>
            </a:ext>
          </a:extLst>
        </xdr:cNvPr>
        <xdr:cNvCxnSpPr/>
      </xdr:nvCxnSpPr>
      <xdr:spPr>
        <a:xfrm>
          <a:off x="0" y="5440319"/>
          <a:ext cx="91343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</xdr:row>
      <xdr:rowOff>170330</xdr:rowOff>
    </xdr:from>
    <xdr:to>
      <xdr:col>0</xdr:col>
      <xdr:colOff>17930</xdr:colOff>
      <xdr:row>32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61539AE9-742E-4AFB-84FC-36923395EA53}"/>
            </a:ext>
          </a:extLst>
        </xdr:cNvPr>
        <xdr:cNvCxnSpPr/>
      </xdr:nvCxnSpPr>
      <xdr:spPr>
        <a:xfrm>
          <a:off x="0" y="6152030"/>
          <a:ext cx="17930" cy="106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</xdr:row>
      <xdr:rowOff>1</xdr:rowOff>
    </xdr:from>
    <xdr:to>
      <xdr:col>0</xdr:col>
      <xdr:colOff>11205</xdr:colOff>
      <xdr:row>30</xdr:row>
      <xdr:rowOff>1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F6BACFB9-F308-4B2D-BE69-F6C2E75DBF08}"/>
            </a:ext>
          </a:extLst>
        </xdr:cNvPr>
        <xdr:cNvCxnSpPr/>
      </xdr:nvCxnSpPr>
      <xdr:spPr>
        <a:xfrm>
          <a:off x="0" y="5791201"/>
          <a:ext cx="1120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6C7AAC47-97C3-47E3-8690-342772779FEA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80683</xdr:colOff>
      <xdr:row>11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E6F497E5-77A6-4F05-830E-04E454827342}"/>
            </a:ext>
          </a:extLst>
        </xdr:cNvPr>
        <xdr:cNvCxnSpPr/>
      </xdr:nvCxnSpPr>
      <xdr:spPr>
        <a:xfrm>
          <a:off x="0" y="2200275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</xdr:row>
      <xdr:rowOff>0</xdr:rowOff>
    </xdr:from>
    <xdr:to>
      <xdr:col>0</xdr:col>
      <xdr:colOff>8965</xdr:colOff>
      <xdr:row>27</xdr:row>
      <xdr:rowOff>8964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CA1AC589-D40C-4E39-8FCE-15816FEEC5C8}"/>
            </a:ext>
          </a:extLst>
        </xdr:cNvPr>
        <xdr:cNvCxnSpPr/>
      </xdr:nvCxnSpPr>
      <xdr:spPr>
        <a:xfrm>
          <a:off x="0" y="5229225"/>
          <a:ext cx="8965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</xdr:row>
      <xdr:rowOff>170330</xdr:rowOff>
    </xdr:from>
    <xdr:to>
      <xdr:col>0</xdr:col>
      <xdr:colOff>17930</xdr:colOff>
      <xdr:row>32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FBDB8F49-0480-4C7A-A734-1C3B2F4934F3}"/>
            </a:ext>
          </a:extLst>
        </xdr:cNvPr>
        <xdr:cNvCxnSpPr/>
      </xdr:nvCxnSpPr>
      <xdr:spPr>
        <a:xfrm>
          <a:off x="0" y="6152030"/>
          <a:ext cx="17930" cy="106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CB448147-34B8-4065-B5BE-87BDC94272C6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11151</xdr:colOff>
      <xdr:row>16</xdr:row>
      <xdr:rowOff>7434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F0C143C7-D893-4FEA-A40F-B103DDA777F4}"/>
            </a:ext>
          </a:extLst>
        </xdr:cNvPr>
        <xdr:cNvCxnSpPr/>
      </xdr:nvCxnSpPr>
      <xdr:spPr>
        <a:xfrm>
          <a:off x="0" y="3133725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97F5E537-5539-4B52-BD8D-38E2D16BB01A}"/>
            </a:ext>
          </a:extLst>
        </xdr:cNvPr>
        <xdr:cNvCxnSpPr/>
      </xdr:nvCxnSpPr>
      <xdr:spPr>
        <a:xfrm>
          <a:off x="0" y="1439213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47B6CB4D-C21D-4BD8-8D9E-9AF0A71AC509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F27912F-E653-4A69-B5EC-155DBD7E67BB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1DB2B07C-5EBB-414A-BD9E-554E5E825191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9EB37FD0-BBAE-451A-B99F-C24185E37514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AA7666BB-6233-4545-AB20-64AE190BAFD7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5DE2A21F-EFCB-414C-9107-5E1E7D9E400C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66446725-2C6C-4634-9A7D-6E35F4C4C4E5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C529FF5F-3AD4-4A23-8EC8-E14BCFA82F04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AD4C8E12-B5E3-4801-86C3-9AC57F3468D4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8FFD455-7A71-4944-B6C7-58775781BC94}"/>
            </a:ext>
          </a:extLst>
        </xdr:cNvPr>
        <xdr:cNvCxnSpPr/>
      </xdr:nvCxnSpPr>
      <xdr:spPr>
        <a:xfrm>
          <a:off x="0" y="29432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09DE415-9332-40FF-9AFD-1F0DDEF87C3B}"/>
            </a:ext>
          </a:extLst>
        </xdr:cNvPr>
        <xdr:cNvCxnSpPr/>
      </xdr:nvCxnSpPr>
      <xdr:spPr>
        <a:xfrm flipV="1">
          <a:off x="0" y="46577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0</xdr:rowOff>
    </xdr:from>
    <xdr:to>
      <xdr:col>0</xdr:col>
      <xdr:colOff>0</xdr:colOff>
      <xdr:row>32</xdr:row>
      <xdr:rowOff>6096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6C48100-C608-463E-BF74-25EA6256047A}"/>
            </a:ext>
          </a:extLst>
        </xdr:cNvPr>
        <xdr:cNvCxnSpPr/>
      </xdr:nvCxnSpPr>
      <xdr:spPr>
        <a:xfrm flipV="1">
          <a:off x="0" y="6162675"/>
          <a:ext cx="0" cy="60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83600F1-E5E2-4DFF-802C-E7A96C63F84A}"/>
            </a:ext>
          </a:extLst>
        </xdr:cNvPr>
        <xdr:cNvCxnSpPr/>
      </xdr:nvCxnSpPr>
      <xdr:spPr>
        <a:xfrm>
          <a:off x="0" y="46577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7620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49FBCFF-7311-4B7B-A929-F25E571D2F8F}"/>
            </a:ext>
          </a:extLst>
        </xdr:cNvPr>
        <xdr:cNvCxnSpPr/>
      </xdr:nvCxnSpPr>
      <xdr:spPr>
        <a:xfrm>
          <a:off x="0" y="8048625"/>
          <a:ext cx="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</xdr:row>
      <xdr:rowOff>0</xdr:rowOff>
    </xdr:from>
    <xdr:to>
      <xdr:col>0</xdr:col>
      <xdr:colOff>0</xdr:colOff>
      <xdr:row>44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FD1608D-C7B6-4FD1-B40D-794F94D2BA54}"/>
            </a:ext>
          </a:extLst>
        </xdr:cNvPr>
        <xdr:cNvCxnSpPr/>
      </xdr:nvCxnSpPr>
      <xdr:spPr>
        <a:xfrm flipV="1">
          <a:off x="0" y="8410575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3F5429C-B39B-471A-B0D1-2EF2F7153B36}"/>
            </a:ext>
          </a:extLst>
        </xdr:cNvPr>
        <xdr:cNvCxnSpPr/>
      </xdr:nvCxnSpPr>
      <xdr:spPr>
        <a:xfrm>
          <a:off x="0" y="29432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3A54F28-58F0-4424-B08C-C0BBF5632C45}"/>
            </a:ext>
          </a:extLst>
        </xdr:cNvPr>
        <xdr:cNvCxnSpPr/>
      </xdr:nvCxnSpPr>
      <xdr:spPr>
        <a:xfrm>
          <a:off x="0" y="46577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</xdr:row>
      <xdr:rowOff>0</xdr:rowOff>
    </xdr:from>
    <xdr:to>
      <xdr:col>0</xdr:col>
      <xdr:colOff>0</xdr:colOff>
      <xdr:row>44</xdr:row>
      <xdr:rowOff>8965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61E513E-B2A8-4BA1-BC1C-9FA98B576662}"/>
            </a:ext>
          </a:extLst>
        </xdr:cNvPr>
        <xdr:cNvCxnSpPr/>
      </xdr:nvCxnSpPr>
      <xdr:spPr>
        <a:xfrm flipV="1">
          <a:off x="0" y="8410575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2497B7E-5C6A-4FD5-8CF3-C0E17CD97668}"/>
            </a:ext>
          </a:extLst>
        </xdr:cNvPr>
        <xdr:cNvCxnSpPr/>
      </xdr:nvCxnSpPr>
      <xdr:spPr>
        <a:xfrm>
          <a:off x="0" y="29432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E5345AD-A6B7-473F-A694-AF2DB9665659}"/>
            </a:ext>
          </a:extLst>
        </xdr:cNvPr>
        <xdr:cNvCxnSpPr/>
      </xdr:nvCxnSpPr>
      <xdr:spPr>
        <a:xfrm flipV="1">
          <a:off x="0" y="46577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3E98366-1685-476D-9E4D-7DF1FBE9589A}"/>
            </a:ext>
          </a:extLst>
        </xdr:cNvPr>
        <xdr:cNvCxnSpPr/>
      </xdr:nvCxnSpPr>
      <xdr:spPr>
        <a:xfrm>
          <a:off x="0" y="465772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</xdr:row>
      <xdr:rowOff>0</xdr:rowOff>
    </xdr:from>
    <xdr:to>
      <xdr:col>0</xdr:col>
      <xdr:colOff>0</xdr:colOff>
      <xdr:row>44</xdr:row>
      <xdr:rowOff>8965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7CE4C41C-DB3C-42C6-88AF-A4F047D1FB07}"/>
            </a:ext>
          </a:extLst>
        </xdr:cNvPr>
        <xdr:cNvCxnSpPr/>
      </xdr:nvCxnSpPr>
      <xdr:spPr>
        <a:xfrm flipV="1">
          <a:off x="0" y="8410575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</xdr:row>
      <xdr:rowOff>0</xdr:rowOff>
    </xdr:from>
    <xdr:to>
      <xdr:col>0</xdr:col>
      <xdr:colOff>0</xdr:colOff>
      <xdr:row>34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1D31B900-937C-4BF9-BB56-B0C61B7EF6B5}"/>
            </a:ext>
          </a:extLst>
        </xdr:cNvPr>
        <xdr:cNvCxnSpPr/>
      </xdr:nvCxnSpPr>
      <xdr:spPr>
        <a:xfrm>
          <a:off x="0" y="654367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</xdr:row>
      <xdr:rowOff>0</xdr:rowOff>
    </xdr:from>
    <xdr:to>
      <xdr:col>0</xdr:col>
      <xdr:colOff>0</xdr:colOff>
      <xdr:row>34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611BFB8B-AFCA-49F5-A76A-1232BD952C10}"/>
            </a:ext>
          </a:extLst>
        </xdr:cNvPr>
        <xdr:cNvCxnSpPr/>
      </xdr:nvCxnSpPr>
      <xdr:spPr>
        <a:xfrm>
          <a:off x="0" y="6543675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D7D8CDE-06F2-46E5-B267-BD13841A0EBB}"/>
            </a:ext>
          </a:extLst>
        </xdr:cNvPr>
        <xdr:cNvCxnSpPr/>
      </xdr:nvCxnSpPr>
      <xdr:spPr>
        <a:xfrm>
          <a:off x="0" y="1439213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</xdr:row>
      <xdr:rowOff>177949</xdr:rowOff>
    </xdr:from>
    <xdr:to>
      <xdr:col>0</xdr:col>
      <xdr:colOff>17930</xdr:colOff>
      <xdr:row>27</xdr:row>
      <xdr:rowOff>177949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CB55938-0760-4C13-91AF-52C8BF814A41}"/>
            </a:ext>
          </a:extLst>
        </xdr:cNvPr>
        <xdr:cNvCxnSpPr/>
      </xdr:nvCxnSpPr>
      <xdr:spPr>
        <a:xfrm>
          <a:off x="0" y="5407174"/>
          <a:ext cx="179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05A02EE-9C81-4B54-954C-BA98431638CE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40</xdr:row>
      <xdr:rowOff>185351</xdr:rowOff>
    </xdr:from>
    <xdr:to>
      <xdr:col>0</xdr:col>
      <xdr:colOff>3021</xdr:colOff>
      <xdr:row>41</xdr:row>
      <xdr:rowOff>7620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E451436B-2B63-4E1A-AD8F-AE83991FAD41}"/>
            </a:ext>
          </a:extLst>
        </xdr:cNvPr>
        <xdr:cNvCxnSpPr/>
      </xdr:nvCxnSpPr>
      <xdr:spPr>
        <a:xfrm>
          <a:off x="0" y="7862501"/>
          <a:ext cx="3021" cy="324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80683</xdr:colOff>
      <xdr:row>11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3197A93C-A83E-4DD5-9F11-78C0AEFC2AD8}"/>
            </a:ext>
          </a:extLst>
        </xdr:cNvPr>
        <xdr:cNvCxnSpPr/>
      </xdr:nvCxnSpPr>
      <xdr:spPr>
        <a:xfrm>
          <a:off x="0" y="2200275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</xdr:row>
      <xdr:rowOff>20594</xdr:rowOff>
    </xdr:from>
    <xdr:to>
      <xdr:col>0</xdr:col>
      <xdr:colOff>91343</xdr:colOff>
      <xdr:row>28</xdr:row>
      <xdr:rowOff>29558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29FF70DA-2D89-42E9-8F3C-EA5DF9901210}"/>
            </a:ext>
          </a:extLst>
        </xdr:cNvPr>
        <xdr:cNvCxnSpPr/>
      </xdr:nvCxnSpPr>
      <xdr:spPr>
        <a:xfrm>
          <a:off x="0" y="5440319"/>
          <a:ext cx="91343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</xdr:row>
      <xdr:rowOff>170330</xdr:rowOff>
    </xdr:from>
    <xdr:to>
      <xdr:col>0</xdr:col>
      <xdr:colOff>17930</xdr:colOff>
      <xdr:row>32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68EA51AA-1D7E-4847-A91D-82081D4D69D0}"/>
            </a:ext>
          </a:extLst>
        </xdr:cNvPr>
        <xdr:cNvCxnSpPr/>
      </xdr:nvCxnSpPr>
      <xdr:spPr>
        <a:xfrm>
          <a:off x="0" y="6152030"/>
          <a:ext cx="17930" cy="106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</xdr:row>
      <xdr:rowOff>1</xdr:rowOff>
    </xdr:from>
    <xdr:to>
      <xdr:col>0</xdr:col>
      <xdr:colOff>11205</xdr:colOff>
      <xdr:row>30</xdr:row>
      <xdr:rowOff>1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A800A160-1BB6-426C-A4E3-006AAEF44477}"/>
            </a:ext>
          </a:extLst>
        </xdr:cNvPr>
        <xdr:cNvCxnSpPr/>
      </xdr:nvCxnSpPr>
      <xdr:spPr>
        <a:xfrm>
          <a:off x="0" y="5791201"/>
          <a:ext cx="1120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EC7A8F9E-0A1F-4B55-86A2-3973608F32E4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80683</xdr:colOff>
      <xdr:row>11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E3FD6D8E-3ECC-467B-9ADB-5DD5BC497C36}"/>
            </a:ext>
          </a:extLst>
        </xdr:cNvPr>
        <xdr:cNvCxnSpPr/>
      </xdr:nvCxnSpPr>
      <xdr:spPr>
        <a:xfrm>
          <a:off x="0" y="2200275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</xdr:row>
      <xdr:rowOff>0</xdr:rowOff>
    </xdr:from>
    <xdr:to>
      <xdr:col>0</xdr:col>
      <xdr:colOff>8965</xdr:colOff>
      <xdr:row>27</xdr:row>
      <xdr:rowOff>8964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51A8EF92-72F4-46ED-B468-DF64EAD87778}"/>
            </a:ext>
          </a:extLst>
        </xdr:cNvPr>
        <xdr:cNvCxnSpPr/>
      </xdr:nvCxnSpPr>
      <xdr:spPr>
        <a:xfrm>
          <a:off x="0" y="5229225"/>
          <a:ext cx="8965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</xdr:row>
      <xdr:rowOff>170330</xdr:rowOff>
    </xdr:from>
    <xdr:to>
      <xdr:col>0</xdr:col>
      <xdr:colOff>17930</xdr:colOff>
      <xdr:row>32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ED2EF7B-5F38-4330-9FE9-1418E73E5D5F}"/>
            </a:ext>
          </a:extLst>
        </xdr:cNvPr>
        <xdr:cNvCxnSpPr/>
      </xdr:nvCxnSpPr>
      <xdr:spPr>
        <a:xfrm>
          <a:off x="0" y="6152030"/>
          <a:ext cx="17930" cy="106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6A61C31E-A286-4AD7-A4AC-715E107CB207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11151</xdr:colOff>
      <xdr:row>16</xdr:row>
      <xdr:rowOff>7434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D562B4CF-E1D4-4FC9-BFE0-BA354277D756}"/>
            </a:ext>
          </a:extLst>
        </xdr:cNvPr>
        <xdr:cNvCxnSpPr/>
      </xdr:nvCxnSpPr>
      <xdr:spPr>
        <a:xfrm>
          <a:off x="0" y="3133725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48EC603-A233-4710-A253-0D4CC8FAF0DF}"/>
            </a:ext>
          </a:extLst>
        </xdr:cNvPr>
        <xdr:cNvCxnSpPr/>
      </xdr:nvCxnSpPr>
      <xdr:spPr>
        <a:xfrm>
          <a:off x="0" y="1439213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B81498F5-C05F-44FF-A0E8-23A05364181E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1788B53C-293C-4966-B77F-C1D0BFDECD5A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9405306B-8A7B-445F-B1E5-586E0722B8BF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10FE56C8-CE4D-4E96-A96C-A2ED4E4CA5E9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E8467033-FC7B-4FD1-A446-224C8E95BD7A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94AAA5D0-DA77-4959-994E-D9EDA54439DE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69F38CCF-456A-44C1-BC44-E475C3D259C3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DFDFB593-33A1-478D-8051-1506AE13E2A8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FD947C2E-7115-4290-B779-DD5D49392285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21E13FB-EC9F-4EF3-913B-CAF793C2F62E}"/>
            </a:ext>
          </a:extLst>
        </xdr:cNvPr>
        <xdr:cNvCxnSpPr/>
      </xdr:nvCxnSpPr>
      <xdr:spPr>
        <a:xfrm>
          <a:off x="0" y="288036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40BC73B-C30F-406B-A729-032C680C931C}"/>
            </a:ext>
          </a:extLst>
        </xdr:cNvPr>
        <xdr:cNvCxnSpPr/>
      </xdr:nvCxnSpPr>
      <xdr:spPr>
        <a:xfrm flipV="1">
          <a:off x="0" y="45262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0</xdr:rowOff>
    </xdr:from>
    <xdr:to>
      <xdr:col>0</xdr:col>
      <xdr:colOff>0</xdr:colOff>
      <xdr:row>32</xdr:row>
      <xdr:rowOff>6096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7B6A208-D873-41FC-9F1D-7A287CBF75B8}"/>
            </a:ext>
          </a:extLst>
        </xdr:cNvPr>
        <xdr:cNvCxnSpPr/>
      </xdr:nvCxnSpPr>
      <xdr:spPr>
        <a:xfrm flipV="1">
          <a:off x="0" y="5989320"/>
          <a:ext cx="0" cy="60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81287A4-34A3-46E3-B35E-022A42614EF1}"/>
            </a:ext>
          </a:extLst>
        </xdr:cNvPr>
        <xdr:cNvCxnSpPr/>
      </xdr:nvCxnSpPr>
      <xdr:spPr>
        <a:xfrm>
          <a:off x="0" y="45262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7620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49FB30D-559F-487B-9996-4D64BCB62B09}"/>
            </a:ext>
          </a:extLst>
        </xdr:cNvPr>
        <xdr:cNvCxnSpPr/>
      </xdr:nvCxnSpPr>
      <xdr:spPr>
        <a:xfrm>
          <a:off x="0" y="7818120"/>
          <a:ext cx="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</xdr:row>
      <xdr:rowOff>0</xdr:rowOff>
    </xdr:from>
    <xdr:to>
      <xdr:col>0</xdr:col>
      <xdr:colOff>0</xdr:colOff>
      <xdr:row>44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7C4B4B5-743B-407D-88D9-31FFDC0D3EE8}"/>
            </a:ext>
          </a:extLst>
        </xdr:cNvPr>
        <xdr:cNvCxnSpPr/>
      </xdr:nvCxnSpPr>
      <xdr:spPr>
        <a:xfrm flipV="1">
          <a:off x="0" y="818388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F9B609B-70D6-4D3C-8AFC-7EB0201A8663}"/>
            </a:ext>
          </a:extLst>
        </xdr:cNvPr>
        <xdr:cNvCxnSpPr/>
      </xdr:nvCxnSpPr>
      <xdr:spPr>
        <a:xfrm>
          <a:off x="0" y="288036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637E4EE-C3D6-403A-B16C-7DF371C9AB11}"/>
            </a:ext>
          </a:extLst>
        </xdr:cNvPr>
        <xdr:cNvCxnSpPr/>
      </xdr:nvCxnSpPr>
      <xdr:spPr>
        <a:xfrm>
          <a:off x="0" y="45262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</xdr:row>
      <xdr:rowOff>0</xdr:rowOff>
    </xdr:from>
    <xdr:to>
      <xdr:col>0</xdr:col>
      <xdr:colOff>0</xdr:colOff>
      <xdr:row>44</xdr:row>
      <xdr:rowOff>8965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CA7A5C6-09AC-4257-B23D-1947F1DD60B6}"/>
            </a:ext>
          </a:extLst>
        </xdr:cNvPr>
        <xdr:cNvCxnSpPr/>
      </xdr:nvCxnSpPr>
      <xdr:spPr>
        <a:xfrm flipV="1">
          <a:off x="0" y="818388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1987BD8-7305-4A46-AAAE-51BD4ABBE3F4}"/>
            </a:ext>
          </a:extLst>
        </xdr:cNvPr>
        <xdr:cNvCxnSpPr/>
      </xdr:nvCxnSpPr>
      <xdr:spPr>
        <a:xfrm>
          <a:off x="0" y="288036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53F4500-14FA-40C8-893F-7F4F7311F7BE}"/>
            </a:ext>
          </a:extLst>
        </xdr:cNvPr>
        <xdr:cNvCxnSpPr/>
      </xdr:nvCxnSpPr>
      <xdr:spPr>
        <a:xfrm flipV="1">
          <a:off x="0" y="45262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54F84C7-C59A-4F0B-944F-AC411D16F96A}"/>
            </a:ext>
          </a:extLst>
        </xdr:cNvPr>
        <xdr:cNvCxnSpPr/>
      </xdr:nvCxnSpPr>
      <xdr:spPr>
        <a:xfrm>
          <a:off x="0" y="45262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</xdr:row>
      <xdr:rowOff>0</xdr:rowOff>
    </xdr:from>
    <xdr:to>
      <xdr:col>0</xdr:col>
      <xdr:colOff>0</xdr:colOff>
      <xdr:row>44</xdr:row>
      <xdr:rowOff>8965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DB48FE98-176D-412D-9556-BC1D858B9635}"/>
            </a:ext>
          </a:extLst>
        </xdr:cNvPr>
        <xdr:cNvCxnSpPr/>
      </xdr:nvCxnSpPr>
      <xdr:spPr>
        <a:xfrm flipV="1">
          <a:off x="0" y="818388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</xdr:row>
      <xdr:rowOff>0</xdr:rowOff>
    </xdr:from>
    <xdr:to>
      <xdr:col>0</xdr:col>
      <xdr:colOff>0</xdr:colOff>
      <xdr:row>34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1CEE0AF3-AAA2-45EC-9A8C-BB285013C781}"/>
            </a:ext>
          </a:extLst>
        </xdr:cNvPr>
        <xdr:cNvCxnSpPr/>
      </xdr:nvCxnSpPr>
      <xdr:spPr>
        <a:xfrm>
          <a:off x="0" y="63550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</xdr:row>
      <xdr:rowOff>0</xdr:rowOff>
    </xdr:from>
    <xdr:to>
      <xdr:col>0</xdr:col>
      <xdr:colOff>0</xdr:colOff>
      <xdr:row>34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891A8C98-1D67-488D-99AB-86B194B45045}"/>
            </a:ext>
          </a:extLst>
        </xdr:cNvPr>
        <xdr:cNvCxnSpPr/>
      </xdr:nvCxnSpPr>
      <xdr:spPr>
        <a:xfrm>
          <a:off x="0" y="63550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B37B8FB-D9B1-4F5A-8BE3-823CDAFA08C9}"/>
            </a:ext>
          </a:extLst>
        </xdr:cNvPr>
        <xdr:cNvCxnSpPr/>
      </xdr:nvCxnSpPr>
      <xdr:spPr>
        <a:xfrm>
          <a:off x="0" y="1403018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</xdr:row>
      <xdr:rowOff>177949</xdr:rowOff>
    </xdr:from>
    <xdr:to>
      <xdr:col>0</xdr:col>
      <xdr:colOff>17930</xdr:colOff>
      <xdr:row>27</xdr:row>
      <xdr:rowOff>177949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6032944A-264F-4082-A498-2C6B0CC16BA0}"/>
            </a:ext>
          </a:extLst>
        </xdr:cNvPr>
        <xdr:cNvCxnSpPr/>
      </xdr:nvCxnSpPr>
      <xdr:spPr>
        <a:xfrm>
          <a:off x="0" y="5252869"/>
          <a:ext cx="179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D59FAB7-E0C0-435F-BB6E-E661728A7D3E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40</xdr:row>
      <xdr:rowOff>185351</xdr:rowOff>
    </xdr:from>
    <xdr:to>
      <xdr:col>0</xdr:col>
      <xdr:colOff>3021</xdr:colOff>
      <xdr:row>41</xdr:row>
      <xdr:rowOff>7620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E8CE60BB-A257-4AE6-BC61-6CA9490F1709}"/>
            </a:ext>
          </a:extLst>
        </xdr:cNvPr>
        <xdr:cNvCxnSpPr/>
      </xdr:nvCxnSpPr>
      <xdr:spPr>
        <a:xfrm>
          <a:off x="0" y="7637711"/>
          <a:ext cx="3021" cy="514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80683</xdr:colOff>
      <xdr:row>11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77FA7E68-55F1-4710-B7A3-7FB4B2C79A40}"/>
            </a:ext>
          </a:extLst>
        </xdr:cNvPr>
        <xdr:cNvCxnSpPr/>
      </xdr:nvCxnSpPr>
      <xdr:spPr>
        <a:xfrm>
          <a:off x="0" y="214884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</xdr:row>
      <xdr:rowOff>20594</xdr:rowOff>
    </xdr:from>
    <xdr:to>
      <xdr:col>0</xdr:col>
      <xdr:colOff>91343</xdr:colOff>
      <xdr:row>28</xdr:row>
      <xdr:rowOff>29558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1EF0E65D-36F3-4E8B-A366-11C09C240DF6}"/>
            </a:ext>
          </a:extLst>
        </xdr:cNvPr>
        <xdr:cNvCxnSpPr/>
      </xdr:nvCxnSpPr>
      <xdr:spPr>
        <a:xfrm>
          <a:off x="0" y="5278394"/>
          <a:ext cx="91343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</xdr:row>
      <xdr:rowOff>170330</xdr:rowOff>
    </xdr:from>
    <xdr:to>
      <xdr:col>0</xdr:col>
      <xdr:colOff>17930</xdr:colOff>
      <xdr:row>32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4FDC90FF-10F9-4823-AFC0-E506E9222C30}"/>
            </a:ext>
          </a:extLst>
        </xdr:cNvPr>
        <xdr:cNvCxnSpPr/>
      </xdr:nvCxnSpPr>
      <xdr:spPr>
        <a:xfrm>
          <a:off x="0" y="5976770"/>
          <a:ext cx="17930" cy="12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</xdr:row>
      <xdr:rowOff>1</xdr:rowOff>
    </xdr:from>
    <xdr:to>
      <xdr:col>0</xdr:col>
      <xdr:colOff>11205</xdr:colOff>
      <xdr:row>30</xdr:row>
      <xdr:rowOff>1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8E7566C4-A7BD-4012-80A7-799CD80D1284}"/>
            </a:ext>
          </a:extLst>
        </xdr:cNvPr>
        <xdr:cNvCxnSpPr/>
      </xdr:nvCxnSpPr>
      <xdr:spPr>
        <a:xfrm>
          <a:off x="0" y="5623561"/>
          <a:ext cx="1120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21365B43-F9CE-46CB-95E4-E5124D0F5284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80683</xdr:colOff>
      <xdr:row>11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8CADA23-258C-49DA-9E4A-02B359EF42CE}"/>
            </a:ext>
          </a:extLst>
        </xdr:cNvPr>
        <xdr:cNvCxnSpPr/>
      </xdr:nvCxnSpPr>
      <xdr:spPr>
        <a:xfrm>
          <a:off x="0" y="214884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</xdr:row>
      <xdr:rowOff>0</xdr:rowOff>
    </xdr:from>
    <xdr:to>
      <xdr:col>0</xdr:col>
      <xdr:colOff>8965</xdr:colOff>
      <xdr:row>27</xdr:row>
      <xdr:rowOff>8964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D4090F-A809-4083-A1FF-1C5E4C604A7E}"/>
            </a:ext>
          </a:extLst>
        </xdr:cNvPr>
        <xdr:cNvCxnSpPr/>
      </xdr:nvCxnSpPr>
      <xdr:spPr>
        <a:xfrm>
          <a:off x="0" y="5074920"/>
          <a:ext cx="8965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</xdr:row>
      <xdr:rowOff>170330</xdr:rowOff>
    </xdr:from>
    <xdr:to>
      <xdr:col>0</xdr:col>
      <xdr:colOff>17930</xdr:colOff>
      <xdr:row>32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F05DFDF5-4F69-4CB1-A32D-68305555E9C1}"/>
            </a:ext>
          </a:extLst>
        </xdr:cNvPr>
        <xdr:cNvCxnSpPr/>
      </xdr:nvCxnSpPr>
      <xdr:spPr>
        <a:xfrm>
          <a:off x="0" y="5976770"/>
          <a:ext cx="17930" cy="12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1076E9AE-9719-4B05-9F8B-2E20A46A6DA8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11151</xdr:colOff>
      <xdr:row>16</xdr:row>
      <xdr:rowOff>7434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69E4B7CF-80ED-4FEF-BAF5-6E977CCB033A}"/>
            </a:ext>
          </a:extLst>
        </xdr:cNvPr>
        <xdr:cNvCxnSpPr/>
      </xdr:nvCxnSpPr>
      <xdr:spPr>
        <a:xfrm>
          <a:off x="0" y="3063240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8AA4C3A-4779-4889-9A08-872B91C6F037}"/>
            </a:ext>
          </a:extLst>
        </xdr:cNvPr>
        <xdr:cNvCxnSpPr/>
      </xdr:nvCxnSpPr>
      <xdr:spPr>
        <a:xfrm>
          <a:off x="0" y="1403018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70EBB096-C663-4064-BCF9-63D7A29EDC99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3A4BC7D5-A0A4-46AC-B987-B69FBF6551C1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8308843E-8922-42C7-90B7-F27AA409B967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E6367310-5D3D-4B1B-8271-D716DCB58535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BE508400-368B-4E37-A97C-1D6E44E4A79B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96C09F-D1B6-4468-8E93-5A659D6DB423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F1B6ED54-DD9C-4D47-A630-9FAED1D27A1C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1A18301C-CFF5-4764-BD55-FF59FF1E6138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61D428A4-3729-4DC8-AE9C-988E0D5711BB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2CA6556-6324-4114-B2E3-9149C246E4A5}"/>
            </a:ext>
          </a:extLst>
        </xdr:cNvPr>
        <xdr:cNvCxnSpPr/>
      </xdr:nvCxnSpPr>
      <xdr:spPr>
        <a:xfrm>
          <a:off x="0" y="30403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91158C6-F043-4A62-B49E-E0FEC91B4664}"/>
            </a:ext>
          </a:extLst>
        </xdr:cNvPr>
        <xdr:cNvCxnSpPr/>
      </xdr:nvCxnSpPr>
      <xdr:spPr>
        <a:xfrm flipV="1"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</xdr:row>
      <xdr:rowOff>0</xdr:rowOff>
    </xdr:from>
    <xdr:to>
      <xdr:col>0</xdr:col>
      <xdr:colOff>0</xdr:colOff>
      <xdr:row>33</xdr:row>
      <xdr:rowOff>6096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81DE363-FC67-4E35-AACF-ACB01BCE697A}"/>
            </a:ext>
          </a:extLst>
        </xdr:cNvPr>
        <xdr:cNvCxnSpPr/>
      </xdr:nvCxnSpPr>
      <xdr:spPr>
        <a:xfrm flipV="1">
          <a:off x="0" y="6156960"/>
          <a:ext cx="0" cy="60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605C2C9-F971-48F3-99A4-D8430E732432}"/>
            </a:ext>
          </a:extLst>
        </xdr:cNvPr>
        <xdr:cNvCxnSpPr/>
      </xdr:nvCxnSpPr>
      <xdr:spPr>
        <a:xfrm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</xdr:row>
      <xdr:rowOff>0</xdr:rowOff>
    </xdr:from>
    <xdr:to>
      <xdr:col>0</xdr:col>
      <xdr:colOff>0</xdr:colOff>
      <xdr:row>44</xdr:row>
      <xdr:rowOff>7620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E95239C-149C-40E0-BEF4-6A6BC70B2A04}"/>
            </a:ext>
          </a:extLst>
        </xdr:cNvPr>
        <xdr:cNvCxnSpPr/>
      </xdr:nvCxnSpPr>
      <xdr:spPr>
        <a:xfrm>
          <a:off x="0" y="8176260"/>
          <a:ext cx="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</xdr:row>
      <xdr:rowOff>0</xdr:rowOff>
    </xdr:from>
    <xdr:to>
      <xdr:col>0</xdr:col>
      <xdr:colOff>0</xdr:colOff>
      <xdr:row>46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65EADB1-13CB-417D-88B0-68113E101B1A}"/>
            </a:ext>
          </a:extLst>
        </xdr:cNvPr>
        <xdr:cNvCxnSpPr/>
      </xdr:nvCxnSpPr>
      <xdr:spPr>
        <a:xfrm flipV="1">
          <a:off x="0" y="854202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452D2F6-8E46-4691-BA65-722163536974}"/>
            </a:ext>
          </a:extLst>
        </xdr:cNvPr>
        <xdr:cNvCxnSpPr/>
      </xdr:nvCxnSpPr>
      <xdr:spPr>
        <a:xfrm>
          <a:off x="0" y="30403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9AB3AC7-50F4-48A2-83A2-C5287BD09A11}"/>
            </a:ext>
          </a:extLst>
        </xdr:cNvPr>
        <xdr:cNvCxnSpPr/>
      </xdr:nvCxnSpPr>
      <xdr:spPr>
        <a:xfrm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</xdr:row>
      <xdr:rowOff>0</xdr:rowOff>
    </xdr:from>
    <xdr:to>
      <xdr:col>0</xdr:col>
      <xdr:colOff>0</xdr:colOff>
      <xdr:row>46</xdr:row>
      <xdr:rowOff>8965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0EA11E2-B9B0-424E-9AB0-258E885B5E66}"/>
            </a:ext>
          </a:extLst>
        </xdr:cNvPr>
        <xdr:cNvCxnSpPr/>
      </xdr:nvCxnSpPr>
      <xdr:spPr>
        <a:xfrm flipV="1">
          <a:off x="0" y="854202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2987898-BD3F-49D9-9247-2A4F0F852F65}"/>
            </a:ext>
          </a:extLst>
        </xdr:cNvPr>
        <xdr:cNvCxnSpPr/>
      </xdr:nvCxnSpPr>
      <xdr:spPr>
        <a:xfrm>
          <a:off x="0" y="30403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636E2BC-3ACF-4C79-A78F-A5D5D9DA7B80}"/>
            </a:ext>
          </a:extLst>
        </xdr:cNvPr>
        <xdr:cNvCxnSpPr/>
      </xdr:nvCxnSpPr>
      <xdr:spPr>
        <a:xfrm flipV="1"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69669B3-845A-4195-AADC-1B878C473E89}"/>
            </a:ext>
          </a:extLst>
        </xdr:cNvPr>
        <xdr:cNvCxnSpPr/>
      </xdr:nvCxnSpPr>
      <xdr:spPr>
        <a:xfrm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</xdr:row>
      <xdr:rowOff>0</xdr:rowOff>
    </xdr:from>
    <xdr:to>
      <xdr:col>0</xdr:col>
      <xdr:colOff>0</xdr:colOff>
      <xdr:row>46</xdr:row>
      <xdr:rowOff>8965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A83CB2AF-A1E9-44AD-A75D-9E803E3BC57D}"/>
            </a:ext>
          </a:extLst>
        </xdr:cNvPr>
        <xdr:cNvCxnSpPr/>
      </xdr:nvCxnSpPr>
      <xdr:spPr>
        <a:xfrm flipV="1">
          <a:off x="0" y="854202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1E39F87-F9AF-4DC8-825D-3DB57DC0AC88}"/>
            </a:ext>
          </a:extLst>
        </xdr:cNvPr>
        <xdr:cNvCxnSpPr/>
      </xdr:nvCxnSpPr>
      <xdr:spPr>
        <a:xfrm>
          <a:off x="0" y="652272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958D61A8-27D0-42BD-89B1-9F579FCF1E64}"/>
            </a:ext>
          </a:extLst>
        </xdr:cNvPr>
        <xdr:cNvCxnSpPr/>
      </xdr:nvCxnSpPr>
      <xdr:spPr>
        <a:xfrm>
          <a:off x="0" y="652272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B8D1DDFF-E397-403E-B8B9-84E599BFDD77}"/>
            </a:ext>
          </a:extLst>
        </xdr:cNvPr>
        <xdr:cNvCxnSpPr/>
      </xdr:nvCxnSpPr>
      <xdr:spPr>
        <a:xfrm>
          <a:off x="0" y="1395398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</xdr:row>
      <xdr:rowOff>177949</xdr:rowOff>
    </xdr:from>
    <xdr:to>
      <xdr:col>0</xdr:col>
      <xdr:colOff>17930</xdr:colOff>
      <xdr:row>28</xdr:row>
      <xdr:rowOff>177949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3F318B0B-394B-48E1-BD85-31AD33226EC4}"/>
            </a:ext>
          </a:extLst>
        </xdr:cNvPr>
        <xdr:cNvCxnSpPr/>
      </xdr:nvCxnSpPr>
      <xdr:spPr>
        <a:xfrm>
          <a:off x="0" y="5412889"/>
          <a:ext cx="179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8AA66C58-AD44-4968-8ED9-2A602161EA5C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42</xdr:row>
      <xdr:rowOff>185351</xdr:rowOff>
    </xdr:from>
    <xdr:to>
      <xdr:col>0</xdr:col>
      <xdr:colOff>3021</xdr:colOff>
      <xdr:row>43</xdr:row>
      <xdr:rowOff>7620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7B9AEA9A-6568-45DA-A4D1-1B2551F419FE}"/>
            </a:ext>
          </a:extLst>
        </xdr:cNvPr>
        <xdr:cNvCxnSpPr/>
      </xdr:nvCxnSpPr>
      <xdr:spPr>
        <a:xfrm>
          <a:off x="0" y="7995851"/>
          <a:ext cx="3021" cy="514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80683</xdr:colOff>
      <xdr:row>12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E37DD11A-2102-48A8-9EB5-536B5AF97348}"/>
            </a:ext>
          </a:extLst>
        </xdr:cNvPr>
        <xdr:cNvCxnSpPr/>
      </xdr:nvCxnSpPr>
      <xdr:spPr>
        <a:xfrm>
          <a:off x="0" y="230886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</xdr:row>
      <xdr:rowOff>20594</xdr:rowOff>
    </xdr:from>
    <xdr:to>
      <xdr:col>0</xdr:col>
      <xdr:colOff>91343</xdr:colOff>
      <xdr:row>29</xdr:row>
      <xdr:rowOff>29558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EAC5E5AF-8013-4EDA-925D-60F3BA06543A}"/>
            </a:ext>
          </a:extLst>
        </xdr:cNvPr>
        <xdr:cNvCxnSpPr/>
      </xdr:nvCxnSpPr>
      <xdr:spPr>
        <a:xfrm>
          <a:off x="0" y="5446034"/>
          <a:ext cx="91343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170330</xdr:rowOff>
    </xdr:from>
    <xdr:to>
      <xdr:col>0</xdr:col>
      <xdr:colOff>17930</xdr:colOff>
      <xdr:row>33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7EA10E1A-C101-4CA7-9153-C715B40C4B96}"/>
            </a:ext>
          </a:extLst>
        </xdr:cNvPr>
        <xdr:cNvCxnSpPr/>
      </xdr:nvCxnSpPr>
      <xdr:spPr>
        <a:xfrm>
          <a:off x="0" y="6144410"/>
          <a:ext cx="17930" cy="12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</xdr:row>
      <xdr:rowOff>1</xdr:rowOff>
    </xdr:from>
    <xdr:to>
      <xdr:col>0</xdr:col>
      <xdr:colOff>11205</xdr:colOff>
      <xdr:row>31</xdr:row>
      <xdr:rowOff>1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4BC6A0A9-76AF-4F5A-B89C-A71F21407E6E}"/>
            </a:ext>
          </a:extLst>
        </xdr:cNvPr>
        <xdr:cNvCxnSpPr/>
      </xdr:nvCxnSpPr>
      <xdr:spPr>
        <a:xfrm>
          <a:off x="0" y="5791201"/>
          <a:ext cx="1120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23A86ACB-8B8C-4813-935B-E3AE478EB4B2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80683</xdr:colOff>
      <xdr:row>12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1DAF0D3C-9A07-4F48-B0B2-9EEE10484FC2}"/>
            </a:ext>
          </a:extLst>
        </xdr:cNvPr>
        <xdr:cNvCxnSpPr/>
      </xdr:nvCxnSpPr>
      <xdr:spPr>
        <a:xfrm>
          <a:off x="0" y="230886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8965</xdr:colOff>
      <xdr:row>28</xdr:row>
      <xdr:rowOff>8964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DDA1ADB-8B6D-4F10-A471-574B866B3AFE}"/>
            </a:ext>
          </a:extLst>
        </xdr:cNvPr>
        <xdr:cNvCxnSpPr/>
      </xdr:nvCxnSpPr>
      <xdr:spPr>
        <a:xfrm>
          <a:off x="0" y="5234940"/>
          <a:ext cx="8965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170330</xdr:rowOff>
    </xdr:from>
    <xdr:to>
      <xdr:col>0</xdr:col>
      <xdr:colOff>17930</xdr:colOff>
      <xdr:row>33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63645477-1C58-4F10-AC3D-4753D0FD75E3}"/>
            </a:ext>
          </a:extLst>
        </xdr:cNvPr>
        <xdr:cNvCxnSpPr/>
      </xdr:nvCxnSpPr>
      <xdr:spPr>
        <a:xfrm>
          <a:off x="0" y="6144410"/>
          <a:ext cx="17930" cy="12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7F777CF1-D993-4AA9-A5D0-539899BF3207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11151</xdr:colOff>
      <xdr:row>17</xdr:row>
      <xdr:rowOff>7434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D55624B-AF73-46BB-88B4-D10158ECC4DC}"/>
            </a:ext>
          </a:extLst>
        </xdr:cNvPr>
        <xdr:cNvCxnSpPr/>
      </xdr:nvCxnSpPr>
      <xdr:spPr>
        <a:xfrm>
          <a:off x="0" y="3223260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1BA3FD0-2F6C-48B6-B2C3-5F7F9303935C}"/>
            </a:ext>
          </a:extLst>
        </xdr:cNvPr>
        <xdr:cNvCxnSpPr/>
      </xdr:nvCxnSpPr>
      <xdr:spPr>
        <a:xfrm>
          <a:off x="0" y="1395398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886E77E9-C978-4068-BA4C-1252B7FCE0DB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9F1DF798-98DC-4011-AE94-E4EEAF5BE09F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6AA24915-F5CE-4A42-AEB9-F723493E49D4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61576626-32D6-49F9-B856-DC43E0B725EF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775AD17F-0972-487F-8380-63BE175FCAE3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D41DA219-78FC-4B9F-82F4-974FF93A1D4E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7C48D5DB-1780-4AD8-B9AA-C21114A4A176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83DF5F64-5810-4A80-A000-39CEB71396EE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A1689752-B878-48A4-B9B5-D7089876E08C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11151</xdr:colOff>
      <xdr:row>17</xdr:row>
      <xdr:rowOff>7434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4424BD6B-5211-41C9-840B-0B654915FD8E}"/>
            </a:ext>
          </a:extLst>
        </xdr:cNvPr>
        <xdr:cNvCxnSpPr/>
      </xdr:nvCxnSpPr>
      <xdr:spPr>
        <a:xfrm>
          <a:off x="0" y="3223260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0A5C681-591E-4196-A2FD-496FF8F4020A}"/>
            </a:ext>
          </a:extLst>
        </xdr:cNvPr>
        <xdr:cNvCxnSpPr/>
      </xdr:nvCxnSpPr>
      <xdr:spPr>
        <a:xfrm>
          <a:off x="0" y="30403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BDC2E93-FE19-43CF-8308-EF01E5B86F03}"/>
            </a:ext>
          </a:extLst>
        </xdr:cNvPr>
        <xdr:cNvCxnSpPr/>
      </xdr:nvCxnSpPr>
      <xdr:spPr>
        <a:xfrm flipV="1"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</xdr:row>
      <xdr:rowOff>0</xdr:rowOff>
    </xdr:from>
    <xdr:to>
      <xdr:col>0</xdr:col>
      <xdr:colOff>0</xdr:colOff>
      <xdr:row>34</xdr:row>
      <xdr:rowOff>6096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5672632-96F3-4E1A-A013-F13DB383DC43}"/>
            </a:ext>
          </a:extLst>
        </xdr:cNvPr>
        <xdr:cNvCxnSpPr/>
      </xdr:nvCxnSpPr>
      <xdr:spPr>
        <a:xfrm flipV="1">
          <a:off x="0" y="6156960"/>
          <a:ext cx="0" cy="60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8E792C8-1C89-4844-AE81-479B08CD6D17}"/>
            </a:ext>
          </a:extLst>
        </xdr:cNvPr>
        <xdr:cNvCxnSpPr/>
      </xdr:nvCxnSpPr>
      <xdr:spPr>
        <a:xfrm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45</xdr:row>
      <xdr:rowOff>0</xdr:rowOff>
    </xdr:from>
    <xdr:to>
      <xdr:col>0</xdr:col>
      <xdr:colOff>0</xdr:colOff>
      <xdr:row>45</xdr:row>
      <xdr:rowOff>7620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05F5E9D-2AD6-4730-8CE7-BF6377AA2FDF}"/>
            </a:ext>
          </a:extLst>
        </xdr:cNvPr>
        <xdr:cNvCxnSpPr/>
      </xdr:nvCxnSpPr>
      <xdr:spPr>
        <a:xfrm>
          <a:off x="0" y="8176260"/>
          <a:ext cx="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47</xdr:row>
      <xdr:rowOff>0</xdr:rowOff>
    </xdr:from>
    <xdr:to>
      <xdr:col>0</xdr:col>
      <xdr:colOff>0</xdr:colOff>
      <xdr:row>47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3696F43-6DC9-4295-AEC5-59FEF477FC1A}"/>
            </a:ext>
          </a:extLst>
        </xdr:cNvPr>
        <xdr:cNvCxnSpPr/>
      </xdr:nvCxnSpPr>
      <xdr:spPr>
        <a:xfrm flipV="1">
          <a:off x="0" y="854202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C0F3CCF-DEBE-4632-B6D4-F69FEEA12E91}"/>
            </a:ext>
          </a:extLst>
        </xdr:cNvPr>
        <xdr:cNvCxnSpPr/>
      </xdr:nvCxnSpPr>
      <xdr:spPr>
        <a:xfrm>
          <a:off x="0" y="30403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02BE4EC-331F-46FE-B6CB-E0B31998F95A}"/>
            </a:ext>
          </a:extLst>
        </xdr:cNvPr>
        <xdr:cNvCxnSpPr/>
      </xdr:nvCxnSpPr>
      <xdr:spPr>
        <a:xfrm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47</xdr:row>
      <xdr:rowOff>0</xdr:rowOff>
    </xdr:from>
    <xdr:to>
      <xdr:col>0</xdr:col>
      <xdr:colOff>0</xdr:colOff>
      <xdr:row>47</xdr:row>
      <xdr:rowOff>8965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FF4A93C-33F9-4BE4-AE40-833650344221}"/>
            </a:ext>
          </a:extLst>
        </xdr:cNvPr>
        <xdr:cNvCxnSpPr/>
      </xdr:nvCxnSpPr>
      <xdr:spPr>
        <a:xfrm flipV="1">
          <a:off x="0" y="854202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006FF12-680A-4C06-BF66-EC28D5C3FC47}"/>
            </a:ext>
          </a:extLst>
        </xdr:cNvPr>
        <xdr:cNvCxnSpPr/>
      </xdr:nvCxnSpPr>
      <xdr:spPr>
        <a:xfrm>
          <a:off x="0" y="30403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238A788-ACF5-4BE6-B841-3627222374D7}"/>
            </a:ext>
          </a:extLst>
        </xdr:cNvPr>
        <xdr:cNvCxnSpPr/>
      </xdr:nvCxnSpPr>
      <xdr:spPr>
        <a:xfrm flipV="1"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143D17E-D037-4A5B-BB1F-37568A34628C}"/>
            </a:ext>
          </a:extLst>
        </xdr:cNvPr>
        <xdr:cNvCxnSpPr/>
      </xdr:nvCxnSpPr>
      <xdr:spPr>
        <a:xfrm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47</xdr:row>
      <xdr:rowOff>0</xdr:rowOff>
    </xdr:from>
    <xdr:to>
      <xdr:col>0</xdr:col>
      <xdr:colOff>0</xdr:colOff>
      <xdr:row>47</xdr:row>
      <xdr:rowOff>8965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9BF5875F-BF29-42A9-AFAE-ECB639408097}"/>
            </a:ext>
          </a:extLst>
        </xdr:cNvPr>
        <xdr:cNvCxnSpPr/>
      </xdr:nvCxnSpPr>
      <xdr:spPr>
        <a:xfrm flipV="1">
          <a:off x="0" y="854202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4437924-C301-4706-98B8-A19BCFC0C9F2}"/>
            </a:ext>
          </a:extLst>
        </xdr:cNvPr>
        <xdr:cNvCxnSpPr/>
      </xdr:nvCxnSpPr>
      <xdr:spPr>
        <a:xfrm>
          <a:off x="0" y="652272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2CC2EFF1-269B-4C95-A031-D9D0BE3EC826}"/>
            </a:ext>
          </a:extLst>
        </xdr:cNvPr>
        <xdr:cNvCxnSpPr/>
      </xdr:nvCxnSpPr>
      <xdr:spPr>
        <a:xfrm>
          <a:off x="0" y="652272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AF2CB029-6793-4E42-87C4-AAE139E6D70D}"/>
            </a:ext>
          </a:extLst>
        </xdr:cNvPr>
        <xdr:cNvCxnSpPr/>
      </xdr:nvCxnSpPr>
      <xdr:spPr>
        <a:xfrm>
          <a:off x="0" y="1395398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</xdr:row>
      <xdr:rowOff>177949</xdr:rowOff>
    </xdr:from>
    <xdr:to>
      <xdr:col>0</xdr:col>
      <xdr:colOff>17930</xdr:colOff>
      <xdr:row>29</xdr:row>
      <xdr:rowOff>177949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FBE05FD-79C7-4B9F-B2C8-35AFFA28CD2E}"/>
            </a:ext>
          </a:extLst>
        </xdr:cNvPr>
        <xdr:cNvCxnSpPr/>
      </xdr:nvCxnSpPr>
      <xdr:spPr>
        <a:xfrm>
          <a:off x="0" y="5412889"/>
          <a:ext cx="179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51FC26C-2036-4D17-9DA4-01350BE5EBF1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43</xdr:row>
      <xdr:rowOff>185351</xdr:rowOff>
    </xdr:from>
    <xdr:to>
      <xdr:col>0</xdr:col>
      <xdr:colOff>3021</xdr:colOff>
      <xdr:row>44</xdr:row>
      <xdr:rowOff>7620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1BD94E3F-932E-495B-AE21-03E88AB33D03}"/>
            </a:ext>
          </a:extLst>
        </xdr:cNvPr>
        <xdr:cNvCxnSpPr/>
      </xdr:nvCxnSpPr>
      <xdr:spPr>
        <a:xfrm>
          <a:off x="0" y="7995851"/>
          <a:ext cx="3021" cy="514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80683</xdr:colOff>
      <xdr:row>13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FF532F9B-A34E-45CC-8E70-8C006AE6A70C}"/>
            </a:ext>
          </a:extLst>
        </xdr:cNvPr>
        <xdr:cNvCxnSpPr/>
      </xdr:nvCxnSpPr>
      <xdr:spPr>
        <a:xfrm>
          <a:off x="0" y="230886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</xdr:row>
      <xdr:rowOff>20594</xdr:rowOff>
    </xdr:from>
    <xdr:to>
      <xdr:col>0</xdr:col>
      <xdr:colOff>91343</xdr:colOff>
      <xdr:row>30</xdr:row>
      <xdr:rowOff>29558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2B269135-3F7E-4DF4-99DD-45254965C958}"/>
            </a:ext>
          </a:extLst>
        </xdr:cNvPr>
        <xdr:cNvCxnSpPr/>
      </xdr:nvCxnSpPr>
      <xdr:spPr>
        <a:xfrm>
          <a:off x="0" y="5446034"/>
          <a:ext cx="91343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</xdr:row>
      <xdr:rowOff>170330</xdr:rowOff>
    </xdr:from>
    <xdr:to>
      <xdr:col>0</xdr:col>
      <xdr:colOff>17930</xdr:colOff>
      <xdr:row>34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9C7C36E1-8887-41D9-9E1C-87C6B4C0DE00}"/>
            </a:ext>
          </a:extLst>
        </xdr:cNvPr>
        <xdr:cNvCxnSpPr/>
      </xdr:nvCxnSpPr>
      <xdr:spPr>
        <a:xfrm>
          <a:off x="0" y="6144410"/>
          <a:ext cx="17930" cy="12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1</xdr:rowOff>
    </xdr:from>
    <xdr:to>
      <xdr:col>0</xdr:col>
      <xdr:colOff>11205</xdr:colOff>
      <xdr:row>32</xdr:row>
      <xdr:rowOff>1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888B209A-0465-4E45-B098-516ECD8B12C6}"/>
            </a:ext>
          </a:extLst>
        </xdr:cNvPr>
        <xdr:cNvCxnSpPr/>
      </xdr:nvCxnSpPr>
      <xdr:spPr>
        <a:xfrm>
          <a:off x="0" y="5791201"/>
          <a:ext cx="1120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5D38B8CA-72BC-4E9C-BA4A-59F4BE5CBA8E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80683</xdr:colOff>
      <xdr:row>13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586A7848-1DA1-4C74-BBDF-23973BD22011}"/>
            </a:ext>
          </a:extLst>
        </xdr:cNvPr>
        <xdr:cNvCxnSpPr/>
      </xdr:nvCxnSpPr>
      <xdr:spPr>
        <a:xfrm>
          <a:off x="0" y="230886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</xdr:row>
      <xdr:rowOff>0</xdr:rowOff>
    </xdr:from>
    <xdr:to>
      <xdr:col>0</xdr:col>
      <xdr:colOff>8965</xdr:colOff>
      <xdr:row>29</xdr:row>
      <xdr:rowOff>8964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B23C7513-5D7C-4332-BE28-60417EC9AD16}"/>
            </a:ext>
          </a:extLst>
        </xdr:cNvPr>
        <xdr:cNvCxnSpPr/>
      </xdr:nvCxnSpPr>
      <xdr:spPr>
        <a:xfrm>
          <a:off x="0" y="5234940"/>
          <a:ext cx="8965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</xdr:row>
      <xdr:rowOff>170330</xdr:rowOff>
    </xdr:from>
    <xdr:to>
      <xdr:col>0</xdr:col>
      <xdr:colOff>17930</xdr:colOff>
      <xdr:row>34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9A400C06-1275-4EAC-9522-C7A3FC6AEA2B}"/>
            </a:ext>
          </a:extLst>
        </xdr:cNvPr>
        <xdr:cNvCxnSpPr/>
      </xdr:nvCxnSpPr>
      <xdr:spPr>
        <a:xfrm>
          <a:off x="0" y="6144410"/>
          <a:ext cx="17930" cy="12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5C7BCE7D-1119-479A-9606-71667C41237C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11151</xdr:colOff>
      <xdr:row>18</xdr:row>
      <xdr:rowOff>7434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3BE3726E-DCF0-425C-A76F-EDFAFEA03BE6}"/>
            </a:ext>
          </a:extLst>
        </xdr:cNvPr>
        <xdr:cNvCxnSpPr/>
      </xdr:nvCxnSpPr>
      <xdr:spPr>
        <a:xfrm>
          <a:off x="0" y="3223260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1939993-855B-4F84-9044-EA18659F90D7}"/>
            </a:ext>
          </a:extLst>
        </xdr:cNvPr>
        <xdr:cNvCxnSpPr/>
      </xdr:nvCxnSpPr>
      <xdr:spPr>
        <a:xfrm>
          <a:off x="0" y="1395398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A6F94832-E1A5-4A96-A71B-9C06AE5C7439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937DA6A-69E7-4A4F-9ED3-F9EBAFBF9521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40A4DC45-A3E7-4F87-A541-624C05ECC20E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97E34914-ED4C-455B-8F3F-3EF5BB8164BF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607CF0BE-EFDA-4F7C-8A25-A5C59588C9CA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DDE3A28-588B-45E7-88B1-643FFD67EBB3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BFC37F37-91D7-415D-9A86-F43A3369054C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5BAD197E-38CE-4699-ACDD-BFBB97E0903B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8161D2F5-266C-4AA9-B1E0-7453903E4896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11151</xdr:colOff>
      <xdr:row>18</xdr:row>
      <xdr:rowOff>7434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5A5BA512-BAA1-4C4E-9933-9E91521451CA}"/>
            </a:ext>
          </a:extLst>
        </xdr:cNvPr>
        <xdr:cNvCxnSpPr/>
      </xdr:nvCxnSpPr>
      <xdr:spPr>
        <a:xfrm>
          <a:off x="0" y="3223260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6CB4D86-0AC7-47AE-8352-31E99A3E5B46}"/>
            </a:ext>
          </a:extLst>
        </xdr:cNvPr>
        <xdr:cNvCxnSpPr/>
      </xdr:nvCxnSpPr>
      <xdr:spPr>
        <a:xfrm>
          <a:off x="0" y="322326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CA7333F-8038-41B0-A077-17468A9101EF}"/>
            </a:ext>
          </a:extLst>
        </xdr:cNvPr>
        <xdr:cNvCxnSpPr/>
      </xdr:nvCxnSpPr>
      <xdr:spPr>
        <a:xfrm flipV="1">
          <a:off x="0" y="48691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</xdr:row>
      <xdr:rowOff>0</xdr:rowOff>
    </xdr:from>
    <xdr:to>
      <xdr:col>0</xdr:col>
      <xdr:colOff>0</xdr:colOff>
      <xdr:row>34</xdr:row>
      <xdr:rowOff>6096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99A13E9-AE33-4C00-B37F-4CBF2E9F34F7}"/>
            </a:ext>
          </a:extLst>
        </xdr:cNvPr>
        <xdr:cNvCxnSpPr/>
      </xdr:nvCxnSpPr>
      <xdr:spPr>
        <a:xfrm flipV="1">
          <a:off x="0" y="6339840"/>
          <a:ext cx="0" cy="60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8B7B146-3DD6-4EC0-AFE5-D575CDCD6A7C}"/>
            </a:ext>
          </a:extLst>
        </xdr:cNvPr>
        <xdr:cNvCxnSpPr/>
      </xdr:nvCxnSpPr>
      <xdr:spPr>
        <a:xfrm>
          <a:off x="0" y="48691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45</xdr:row>
      <xdr:rowOff>0</xdr:rowOff>
    </xdr:from>
    <xdr:to>
      <xdr:col>0</xdr:col>
      <xdr:colOff>0</xdr:colOff>
      <xdr:row>45</xdr:row>
      <xdr:rowOff>7620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C7760C7-9850-45AB-A9AD-A96EDA85975E}"/>
            </a:ext>
          </a:extLst>
        </xdr:cNvPr>
        <xdr:cNvCxnSpPr/>
      </xdr:nvCxnSpPr>
      <xdr:spPr>
        <a:xfrm>
          <a:off x="0" y="8359140"/>
          <a:ext cx="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47</xdr:row>
      <xdr:rowOff>0</xdr:rowOff>
    </xdr:from>
    <xdr:to>
      <xdr:col>0</xdr:col>
      <xdr:colOff>0</xdr:colOff>
      <xdr:row>47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E3EED4A-8C61-4ACF-A060-8BD5729B356C}"/>
            </a:ext>
          </a:extLst>
        </xdr:cNvPr>
        <xdr:cNvCxnSpPr/>
      </xdr:nvCxnSpPr>
      <xdr:spPr>
        <a:xfrm flipV="1">
          <a:off x="0" y="872490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A688285-6DA0-4CF7-91A9-46C2E224198A}"/>
            </a:ext>
          </a:extLst>
        </xdr:cNvPr>
        <xdr:cNvCxnSpPr/>
      </xdr:nvCxnSpPr>
      <xdr:spPr>
        <a:xfrm>
          <a:off x="0" y="322326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5CD1D59-3574-4766-84C7-2C10C8A2E87A}"/>
            </a:ext>
          </a:extLst>
        </xdr:cNvPr>
        <xdr:cNvCxnSpPr/>
      </xdr:nvCxnSpPr>
      <xdr:spPr>
        <a:xfrm>
          <a:off x="0" y="48691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47</xdr:row>
      <xdr:rowOff>0</xdr:rowOff>
    </xdr:from>
    <xdr:to>
      <xdr:col>0</xdr:col>
      <xdr:colOff>0</xdr:colOff>
      <xdr:row>47</xdr:row>
      <xdr:rowOff>8965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DB82F92-3110-4D88-8CA2-6B77E0AFAF82}"/>
            </a:ext>
          </a:extLst>
        </xdr:cNvPr>
        <xdr:cNvCxnSpPr/>
      </xdr:nvCxnSpPr>
      <xdr:spPr>
        <a:xfrm flipV="1">
          <a:off x="0" y="872490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7D93071-78EA-40D4-BC5D-AAE0B5896F3F}"/>
            </a:ext>
          </a:extLst>
        </xdr:cNvPr>
        <xdr:cNvCxnSpPr/>
      </xdr:nvCxnSpPr>
      <xdr:spPr>
        <a:xfrm>
          <a:off x="0" y="322326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9D36A7A-81D9-4732-AAEC-2A259A6021BB}"/>
            </a:ext>
          </a:extLst>
        </xdr:cNvPr>
        <xdr:cNvCxnSpPr/>
      </xdr:nvCxnSpPr>
      <xdr:spPr>
        <a:xfrm flipV="1">
          <a:off x="0" y="48691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A1232E9-0427-4265-B5EC-297B511DA409}"/>
            </a:ext>
          </a:extLst>
        </xdr:cNvPr>
        <xdr:cNvCxnSpPr/>
      </xdr:nvCxnSpPr>
      <xdr:spPr>
        <a:xfrm>
          <a:off x="0" y="48691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47</xdr:row>
      <xdr:rowOff>0</xdr:rowOff>
    </xdr:from>
    <xdr:to>
      <xdr:col>0</xdr:col>
      <xdr:colOff>0</xdr:colOff>
      <xdr:row>47</xdr:row>
      <xdr:rowOff>8965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943905EE-1343-4AC9-A25F-38745D15CE19}"/>
            </a:ext>
          </a:extLst>
        </xdr:cNvPr>
        <xdr:cNvCxnSpPr/>
      </xdr:nvCxnSpPr>
      <xdr:spPr>
        <a:xfrm flipV="1">
          <a:off x="0" y="872490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5C3FC8D-FE5A-425E-B530-C6DFE339ED35}"/>
            </a:ext>
          </a:extLst>
        </xdr:cNvPr>
        <xdr:cNvCxnSpPr/>
      </xdr:nvCxnSpPr>
      <xdr:spPr>
        <a:xfrm>
          <a:off x="0" y="67056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A85755CA-010E-46ED-8C7C-356FE89CA767}"/>
            </a:ext>
          </a:extLst>
        </xdr:cNvPr>
        <xdr:cNvCxnSpPr/>
      </xdr:nvCxnSpPr>
      <xdr:spPr>
        <a:xfrm>
          <a:off x="0" y="67056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1A002B6C-BF1F-41FA-B035-FC8F72D42928}"/>
            </a:ext>
          </a:extLst>
        </xdr:cNvPr>
        <xdr:cNvCxnSpPr/>
      </xdr:nvCxnSpPr>
      <xdr:spPr>
        <a:xfrm>
          <a:off x="0" y="1395398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</xdr:row>
      <xdr:rowOff>177949</xdr:rowOff>
    </xdr:from>
    <xdr:to>
      <xdr:col>0</xdr:col>
      <xdr:colOff>17930</xdr:colOff>
      <xdr:row>29</xdr:row>
      <xdr:rowOff>177949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38DA323-D3AF-4EDB-B6C8-7F5B1D757AA6}"/>
            </a:ext>
          </a:extLst>
        </xdr:cNvPr>
        <xdr:cNvCxnSpPr/>
      </xdr:nvCxnSpPr>
      <xdr:spPr>
        <a:xfrm>
          <a:off x="0" y="5595769"/>
          <a:ext cx="179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29EF4991-F4B7-48E4-977C-F5B979DB1F55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43</xdr:row>
      <xdr:rowOff>185351</xdr:rowOff>
    </xdr:from>
    <xdr:to>
      <xdr:col>0</xdr:col>
      <xdr:colOff>3021</xdr:colOff>
      <xdr:row>44</xdr:row>
      <xdr:rowOff>7620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F6E1C376-F85C-452E-BA14-6536E513C4B4}"/>
            </a:ext>
          </a:extLst>
        </xdr:cNvPr>
        <xdr:cNvCxnSpPr/>
      </xdr:nvCxnSpPr>
      <xdr:spPr>
        <a:xfrm>
          <a:off x="0" y="8178731"/>
          <a:ext cx="3021" cy="514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80683</xdr:colOff>
      <xdr:row>13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84228B41-3382-402D-9EBA-936882F6C715}"/>
            </a:ext>
          </a:extLst>
        </xdr:cNvPr>
        <xdr:cNvCxnSpPr/>
      </xdr:nvCxnSpPr>
      <xdr:spPr>
        <a:xfrm>
          <a:off x="0" y="249174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</xdr:row>
      <xdr:rowOff>20594</xdr:rowOff>
    </xdr:from>
    <xdr:to>
      <xdr:col>0</xdr:col>
      <xdr:colOff>91343</xdr:colOff>
      <xdr:row>30</xdr:row>
      <xdr:rowOff>29558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C4A5A11A-DA45-42AD-A5AA-2E9AC51EE265}"/>
            </a:ext>
          </a:extLst>
        </xdr:cNvPr>
        <xdr:cNvCxnSpPr/>
      </xdr:nvCxnSpPr>
      <xdr:spPr>
        <a:xfrm>
          <a:off x="0" y="5628914"/>
          <a:ext cx="91343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</xdr:row>
      <xdr:rowOff>170330</xdr:rowOff>
    </xdr:from>
    <xdr:to>
      <xdr:col>0</xdr:col>
      <xdr:colOff>17930</xdr:colOff>
      <xdr:row>34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DABCC28C-E894-4403-A2C7-C5AD9BD870B1}"/>
            </a:ext>
          </a:extLst>
        </xdr:cNvPr>
        <xdr:cNvCxnSpPr/>
      </xdr:nvCxnSpPr>
      <xdr:spPr>
        <a:xfrm>
          <a:off x="0" y="6327290"/>
          <a:ext cx="17930" cy="12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1</xdr:rowOff>
    </xdr:from>
    <xdr:to>
      <xdr:col>0</xdr:col>
      <xdr:colOff>11205</xdr:colOff>
      <xdr:row>32</xdr:row>
      <xdr:rowOff>1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97E213D2-23F3-41F3-9C5F-45E4C0D6A9FF}"/>
            </a:ext>
          </a:extLst>
        </xdr:cNvPr>
        <xdr:cNvCxnSpPr/>
      </xdr:nvCxnSpPr>
      <xdr:spPr>
        <a:xfrm>
          <a:off x="0" y="5974081"/>
          <a:ext cx="1120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78E9FF8A-7B70-4C55-8916-2BC99C6501C1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80683</xdr:colOff>
      <xdr:row>13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2B12E75E-8E39-4E00-A4E7-D351235718B6}"/>
            </a:ext>
          </a:extLst>
        </xdr:cNvPr>
        <xdr:cNvCxnSpPr/>
      </xdr:nvCxnSpPr>
      <xdr:spPr>
        <a:xfrm>
          <a:off x="0" y="249174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</xdr:row>
      <xdr:rowOff>0</xdr:rowOff>
    </xdr:from>
    <xdr:to>
      <xdr:col>0</xdr:col>
      <xdr:colOff>8965</xdr:colOff>
      <xdr:row>29</xdr:row>
      <xdr:rowOff>8964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BDDBC9A7-982D-4585-88DC-863D370F49A8}"/>
            </a:ext>
          </a:extLst>
        </xdr:cNvPr>
        <xdr:cNvCxnSpPr/>
      </xdr:nvCxnSpPr>
      <xdr:spPr>
        <a:xfrm>
          <a:off x="0" y="5417820"/>
          <a:ext cx="8965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</xdr:row>
      <xdr:rowOff>170330</xdr:rowOff>
    </xdr:from>
    <xdr:to>
      <xdr:col>0</xdr:col>
      <xdr:colOff>17930</xdr:colOff>
      <xdr:row>34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EDF28FC1-57E1-4537-BBF7-1404CAE2956E}"/>
            </a:ext>
          </a:extLst>
        </xdr:cNvPr>
        <xdr:cNvCxnSpPr/>
      </xdr:nvCxnSpPr>
      <xdr:spPr>
        <a:xfrm>
          <a:off x="0" y="6327290"/>
          <a:ext cx="17930" cy="12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2EF9965-5478-41C9-88D6-736B90B85954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11151</xdr:colOff>
      <xdr:row>18</xdr:row>
      <xdr:rowOff>7434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C5F0E40A-B58F-49D0-B14A-9D1F390B3D9A}"/>
            </a:ext>
          </a:extLst>
        </xdr:cNvPr>
        <xdr:cNvCxnSpPr/>
      </xdr:nvCxnSpPr>
      <xdr:spPr>
        <a:xfrm>
          <a:off x="0" y="3406140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8DCC7D3D-7413-44AD-B6AD-F88C23137286}"/>
            </a:ext>
          </a:extLst>
        </xdr:cNvPr>
        <xdr:cNvCxnSpPr/>
      </xdr:nvCxnSpPr>
      <xdr:spPr>
        <a:xfrm>
          <a:off x="0" y="1395398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8ED42F67-25D0-456B-8AD4-C8034D45364C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14A9D630-AC72-409E-9D2F-61AE4F8ED1FC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F0D3C3F6-86B0-457F-9E70-ABA03011E537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5BBF9D29-5AEE-477C-A4B2-177E3F0D14F5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C2DA7214-78D6-4D0C-8312-FDAAB58DDB82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44346DAA-252D-4B2D-ACB4-C9E9E87C735B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FBF00881-36A5-4EB0-A47D-66415AFF8A71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93C481C0-03C3-4B3C-B98C-6313AFA361DC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C8BF47D7-4C2A-4C8D-BD97-C2B64F2BD1FE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11151</xdr:colOff>
      <xdr:row>18</xdr:row>
      <xdr:rowOff>7434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79C5CCC-2A98-4C33-9CF2-149903251706}"/>
            </a:ext>
          </a:extLst>
        </xdr:cNvPr>
        <xdr:cNvCxnSpPr/>
      </xdr:nvCxnSpPr>
      <xdr:spPr>
        <a:xfrm>
          <a:off x="0" y="3406140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8C3B1F8-5CFA-4D03-91AC-4F571A9AC850}"/>
            </a:ext>
          </a:extLst>
        </xdr:cNvPr>
        <xdr:cNvCxnSpPr/>
      </xdr:nvCxnSpPr>
      <xdr:spPr>
        <a:xfrm>
          <a:off x="0" y="30403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A7FD325-B4E9-452A-AFB9-75A88FEF3F57}"/>
            </a:ext>
          </a:extLst>
        </xdr:cNvPr>
        <xdr:cNvCxnSpPr/>
      </xdr:nvCxnSpPr>
      <xdr:spPr>
        <a:xfrm flipV="1"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</xdr:row>
      <xdr:rowOff>0</xdr:rowOff>
    </xdr:from>
    <xdr:to>
      <xdr:col>0</xdr:col>
      <xdr:colOff>0</xdr:colOff>
      <xdr:row>33</xdr:row>
      <xdr:rowOff>6096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B5496BD-B5F4-484C-AA0D-9878B6F98128}"/>
            </a:ext>
          </a:extLst>
        </xdr:cNvPr>
        <xdr:cNvCxnSpPr/>
      </xdr:nvCxnSpPr>
      <xdr:spPr>
        <a:xfrm flipV="1">
          <a:off x="0" y="6149340"/>
          <a:ext cx="0" cy="60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4B02ED2-9378-46BF-BA0D-8CC18DD6CDE0}"/>
            </a:ext>
          </a:extLst>
        </xdr:cNvPr>
        <xdr:cNvCxnSpPr/>
      </xdr:nvCxnSpPr>
      <xdr:spPr>
        <a:xfrm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</xdr:row>
      <xdr:rowOff>0</xdr:rowOff>
    </xdr:from>
    <xdr:to>
      <xdr:col>0</xdr:col>
      <xdr:colOff>0</xdr:colOff>
      <xdr:row>44</xdr:row>
      <xdr:rowOff>7620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17D2395-7267-4B0C-A6AA-2A64C6256408}"/>
            </a:ext>
          </a:extLst>
        </xdr:cNvPr>
        <xdr:cNvCxnSpPr/>
      </xdr:nvCxnSpPr>
      <xdr:spPr>
        <a:xfrm>
          <a:off x="0" y="7985760"/>
          <a:ext cx="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</xdr:row>
      <xdr:rowOff>0</xdr:rowOff>
    </xdr:from>
    <xdr:to>
      <xdr:col>0</xdr:col>
      <xdr:colOff>0</xdr:colOff>
      <xdr:row>46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FC83AAF-8F03-456B-975F-1E57C395D552}"/>
            </a:ext>
          </a:extLst>
        </xdr:cNvPr>
        <xdr:cNvCxnSpPr/>
      </xdr:nvCxnSpPr>
      <xdr:spPr>
        <a:xfrm flipV="1">
          <a:off x="0" y="835152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FD9C4000-CE20-4DDB-B972-099D7B1EA4A3}"/>
            </a:ext>
          </a:extLst>
        </xdr:cNvPr>
        <xdr:cNvCxnSpPr/>
      </xdr:nvCxnSpPr>
      <xdr:spPr>
        <a:xfrm>
          <a:off x="0" y="30403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C672FC2-B8ED-4218-B273-F4D60F8D9068}"/>
            </a:ext>
          </a:extLst>
        </xdr:cNvPr>
        <xdr:cNvCxnSpPr/>
      </xdr:nvCxnSpPr>
      <xdr:spPr>
        <a:xfrm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</xdr:row>
      <xdr:rowOff>0</xdr:rowOff>
    </xdr:from>
    <xdr:to>
      <xdr:col>0</xdr:col>
      <xdr:colOff>0</xdr:colOff>
      <xdr:row>46</xdr:row>
      <xdr:rowOff>8965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286E510-B9AA-4781-B2FF-F395B982EED3}"/>
            </a:ext>
          </a:extLst>
        </xdr:cNvPr>
        <xdr:cNvCxnSpPr/>
      </xdr:nvCxnSpPr>
      <xdr:spPr>
        <a:xfrm flipV="1">
          <a:off x="0" y="835152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6063286E-C9A1-47CA-8678-1E3D209EDDC2}"/>
            </a:ext>
          </a:extLst>
        </xdr:cNvPr>
        <xdr:cNvCxnSpPr/>
      </xdr:nvCxnSpPr>
      <xdr:spPr>
        <a:xfrm>
          <a:off x="0" y="30403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090D9AF-BC52-409C-AAFA-E9B3D90E67E9}"/>
            </a:ext>
          </a:extLst>
        </xdr:cNvPr>
        <xdr:cNvCxnSpPr/>
      </xdr:nvCxnSpPr>
      <xdr:spPr>
        <a:xfrm flipV="1"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17DC7584-5999-466A-8769-E8941DF1730B}"/>
            </a:ext>
          </a:extLst>
        </xdr:cNvPr>
        <xdr:cNvCxnSpPr/>
      </xdr:nvCxnSpPr>
      <xdr:spPr>
        <a:xfrm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</xdr:row>
      <xdr:rowOff>0</xdr:rowOff>
    </xdr:from>
    <xdr:to>
      <xdr:col>0</xdr:col>
      <xdr:colOff>0</xdr:colOff>
      <xdr:row>46</xdr:row>
      <xdr:rowOff>8965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CAEBD698-C61D-4F71-A597-03887B40D8E1}"/>
            </a:ext>
          </a:extLst>
        </xdr:cNvPr>
        <xdr:cNvCxnSpPr/>
      </xdr:nvCxnSpPr>
      <xdr:spPr>
        <a:xfrm flipV="1">
          <a:off x="0" y="835152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1C0C3EC-ADE5-4599-A0ED-6883EA782264}"/>
            </a:ext>
          </a:extLst>
        </xdr:cNvPr>
        <xdr:cNvCxnSpPr/>
      </xdr:nvCxnSpPr>
      <xdr:spPr>
        <a:xfrm>
          <a:off x="0" y="65151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CB68C06-8707-4594-80F2-CEAC56E13F24}"/>
            </a:ext>
          </a:extLst>
        </xdr:cNvPr>
        <xdr:cNvCxnSpPr/>
      </xdr:nvCxnSpPr>
      <xdr:spPr>
        <a:xfrm>
          <a:off x="0" y="65151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74628FD8-08A3-48A4-9C54-F6A7596A8138}"/>
            </a:ext>
          </a:extLst>
        </xdr:cNvPr>
        <xdr:cNvCxnSpPr/>
      </xdr:nvCxnSpPr>
      <xdr:spPr>
        <a:xfrm>
          <a:off x="0" y="1395398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</xdr:row>
      <xdr:rowOff>177949</xdr:rowOff>
    </xdr:from>
    <xdr:to>
      <xdr:col>0</xdr:col>
      <xdr:colOff>17930</xdr:colOff>
      <xdr:row>28</xdr:row>
      <xdr:rowOff>177949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9A8467E5-6C25-4EC1-95D8-9EE61925384C}"/>
            </a:ext>
          </a:extLst>
        </xdr:cNvPr>
        <xdr:cNvCxnSpPr/>
      </xdr:nvCxnSpPr>
      <xdr:spPr>
        <a:xfrm>
          <a:off x="0" y="5412889"/>
          <a:ext cx="179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D7A1E95-3857-4FF4-83BF-8480206DBDAB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42</xdr:row>
      <xdr:rowOff>185351</xdr:rowOff>
    </xdr:from>
    <xdr:to>
      <xdr:col>0</xdr:col>
      <xdr:colOff>3021</xdr:colOff>
      <xdr:row>43</xdr:row>
      <xdr:rowOff>7620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3F65DD8E-AE8D-4539-B9A4-0F45266E298D}"/>
            </a:ext>
          </a:extLst>
        </xdr:cNvPr>
        <xdr:cNvCxnSpPr/>
      </xdr:nvCxnSpPr>
      <xdr:spPr>
        <a:xfrm>
          <a:off x="0" y="7805351"/>
          <a:ext cx="3021" cy="514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80683</xdr:colOff>
      <xdr:row>12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691FC6D9-D8B6-4A89-9A30-1DD98ECB74A3}"/>
            </a:ext>
          </a:extLst>
        </xdr:cNvPr>
        <xdr:cNvCxnSpPr/>
      </xdr:nvCxnSpPr>
      <xdr:spPr>
        <a:xfrm>
          <a:off x="0" y="230886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</xdr:row>
      <xdr:rowOff>20594</xdr:rowOff>
    </xdr:from>
    <xdr:to>
      <xdr:col>0</xdr:col>
      <xdr:colOff>91343</xdr:colOff>
      <xdr:row>29</xdr:row>
      <xdr:rowOff>29558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8DAE46FE-8C19-4CB9-8603-66454A607E9B}"/>
            </a:ext>
          </a:extLst>
        </xdr:cNvPr>
        <xdr:cNvCxnSpPr/>
      </xdr:nvCxnSpPr>
      <xdr:spPr>
        <a:xfrm>
          <a:off x="0" y="5438414"/>
          <a:ext cx="91343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170330</xdr:rowOff>
    </xdr:from>
    <xdr:to>
      <xdr:col>0</xdr:col>
      <xdr:colOff>17930</xdr:colOff>
      <xdr:row>33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15A91118-97A0-42A2-A70F-AAB069F65379}"/>
            </a:ext>
          </a:extLst>
        </xdr:cNvPr>
        <xdr:cNvCxnSpPr/>
      </xdr:nvCxnSpPr>
      <xdr:spPr>
        <a:xfrm>
          <a:off x="0" y="6136790"/>
          <a:ext cx="17930" cy="12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</xdr:row>
      <xdr:rowOff>1</xdr:rowOff>
    </xdr:from>
    <xdr:to>
      <xdr:col>0</xdr:col>
      <xdr:colOff>11205</xdr:colOff>
      <xdr:row>31</xdr:row>
      <xdr:rowOff>1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84BA8343-3ADC-4B13-94F4-CAC0A1EDB4AF}"/>
            </a:ext>
          </a:extLst>
        </xdr:cNvPr>
        <xdr:cNvCxnSpPr/>
      </xdr:nvCxnSpPr>
      <xdr:spPr>
        <a:xfrm>
          <a:off x="0" y="5783581"/>
          <a:ext cx="1120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DBB30C78-8ED5-4F72-97A0-6AAEFC75A8AE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80683</xdr:colOff>
      <xdr:row>12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28DAA04-A5FE-43D2-9F75-7F2855985B2F}"/>
            </a:ext>
          </a:extLst>
        </xdr:cNvPr>
        <xdr:cNvCxnSpPr/>
      </xdr:nvCxnSpPr>
      <xdr:spPr>
        <a:xfrm>
          <a:off x="0" y="230886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8965</xdr:colOff>
      <xdr:row>28</xdr:row>
      <xdr:rowOff>8964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B4BCD782-9A35-4EB6-B7A9-1BCB6DB9AA8E}"/>
            </a:ext>
          </a:extLst>
        </xdr:cNvPr>
        <xdr:cNvCxnSpPr/>
      </xdr:nvCxnSpPr>
      <xdr:spPr>
        <a:xfrm>
          <a:off x="0" y="5234940"/>
          <a:ext cx="8965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170330</xdr:rowOff>
    </xdr:from>
    <xdr:to>
      <xdr:col>0</xdr:col>
      <xdr:colOff>17930</xdr:colOff>
      <xdr:row>33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43194230-AD6D-48A1-B249-D85BFE17A28F}"/>
            </a:ext>
          </a:extLst>
        </xdr:cNvPr>
        <xdr:cNvCxnSpPr/>
      </xdr:nvCxnSpPr>
      <xdr:spPr>
        <a:xfrm>
          <a:off x="0" y="6136790"/>
          <a:ext cx="17930" cy="12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BC5AB02B-FB90-48DF-A094-8BC1742A8562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11151</xdr:colOff>
      <xdr:row>17</xdr:row>
      <xdr:rowOff>7434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15849EAE-5CD9-4D65-8794-9F30A7BD48E8}"/>
            </a:ext>
          </a:extLst>
        </xdr:cNvPr>
        <xdr:cNvCxnSpPr/>
      </xdr:nvCxnSpPr>
      <xdr:spPr>
        <a:xfrm>
          <a:off x="0" y="3223260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EB920968-FDB9-4B65-B2DF-E7BDA6994D1A}"/>
            </a:ext>
          </a:extLst>
        </xdr:cNvPr>
        <xdr:cNvCxnSpPr/>
      </xdr:nvCxnSpPr>
      <xdr:spPr>
        <a:xfrm>
          <a:off x="0" y="1395398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C30379BE-F691-4FA6-880F-787FEBC322AD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F659BC6-D1FE-44DC-856B-2AC9ED0A18F7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FE1A0853-17FC-4C67-B1A5-557F70B83BD5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E21B0052-D5EE-420B-A15B-C5DCEC3F9B7E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B94A2BE4-2297-48EE-ADA9-08524D5088C5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D3ECF301-194C-4905-8CA7-9BB84C310588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7FD16F02-0FEA-49A2-A588-D50ED99F12B3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C7BC9F3-747E-42BF-8D68-49A21FFE92B1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AF088D76-ABCF-4A71-AFDE-4A32FF68DB1B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11151</xdr:colOff>
      <xdr:row>17</xdr:row>
      <xdr:rowOff>7434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DFC71F0-4493-402A-9CD1-10CB449FD910}"/>
            </a:ext>
          </a:extLst>
        </xdr:cNvPr>
        <xdr:cNvCxnSpPr/>
      </xdr:nvCxnSpPr>
      <xdr:spPr>
        <a:xfrm>
          <a:off x="0" y="3223260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85AAB17-F8B9-4460-8BB5-80A3D2DF3B35}"/>
            </a:ext>
          </a:extLst>
        </xdr:cNvPr>
        <xdr:cNvCxnSpPr/>
      </xdr:nvCxnSpPr>
      <xdr:spPr>
        <a:xfrm>
          <a:off x="0" y="30403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001CFD3-9E52-4914-B82F-60531BBD40FD}"/>
            </a:ext>
          </a:extLst>
        </xdr:cNvPr>
        <xdr:cNvCxnSpPr/>
      </xdr:nvCxnSpPr>
      <xdr:spPr>
        <a:xfrm flipV="1"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</xdr:row>
      <xdr:rowOff>0</xdr:rowOff>
    </xdr:from>
    <xdr:to>
      <xdr:col>0</xdr:col>
      <xdr:colOff>0</xdr:colOff>
      <xdr:row>33</xdr:row>
      <xdr:rowOff>6096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218A3E3-CA14-4BD5-ABC9-F3AA7CF4D96D}"/>
            </a:ext>
          </a:extLst>
        </xdr:cNvPr>
        <xdr:cNvCxnSpPr/>
      </xdr:nvCxnSpPr>
      <xdr:spPr>
        <a:xfrm flipV="1">
          <a:off x="0" y="6156960"/>
          <a:ext cx="0" cy="60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6B10C49-98C2-4D5C-98B2-A299523F8236}"/>
            </a:ext>
          </a:extLst>
        </xdr:cNvPr>
        <xdr:cNvCxnSpPr/>
      </xdr:nvCxnSpPr>
      <xdr:spPr>
        <a:xfrm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</xdr:row>
      <xdr:rowOff>0</xdr:rowOff>
    </xdr:from>
    <xdr:to>
      <xdr:col>0</xdr:col>
      <xdr:colOff>0</xdr:colOff>
      <xdr:row>44</xdr:row>
      <xdr:rowOff>7620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F7A5537-B279-406E-9B22-3DBF2D22FADE}"/>
            </a:ext>
          </a:extLst>
        </xdr:cNvPr>
        <xdr:cNvCxnSpPr/>
      </xdr:nvCxnSpPr>
      <xdr:spPr>
        <a:xfrm>
          <a:off x="0" y="8191500"/>
          <a:ext cx="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</xdr:row>
      <xdr:rowOff>0</xdr:rowOff>
    </xdr:from>
    <xdr:to>
      <xdr:col>0</xdr:col>
      <xdr:colOff>0</xdr:colOff>
      <xdr:row>46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BEA233C-2A85-4EFD-A1F0-D7FA26A5C223}"/>
            </a:ext>
          </a:extLst>
        </xdr:cNvPr>
        <xdr:cNvCxnSpPr/>
      </xdr:nvCxnSpPr>
      <xdr:spPr>
        <a:xfrm flipV="1">
          <a:off x="0" y="855726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37D74BB-EC7C-4DB2-8651-3141BD9558A1}"/>
            </a:ext>
          </a:extLst>
        </xdr:cNvPr>
        <xdr:cNvCxnSpPr/>
      </xdr:nvCxnSpPr>
      <xdr:spPr>
        <a:xfrm>
          <a:off x="0" y="30403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6BF5AFD-466F-42AD-B6C9-5648ED86EEB9}"/>
            </a:ext>
          </a:extLst>
        </xdr:cNvPr>
        <xdr:cNvCxnSpPr/>
      </xdr:nvCxnSpPr>
      <xdr:spPr>
        <a:xfrm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</xdr:row>
      <xdr:rowOff>0</xdr:rowOff>
    </xdr:from>
    <xdr:to>
      <xdr:col>0</xdr:col>
      <xdr:colOff>0</xdr:colOff>
      <xdr:row>46</xdr:row>
      <xdr:rowOff>8965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9DDE821-633C-4879-89A2-1F81741444C5}"/>
            </a:ext>
          </a:extLst>
        </xdr:cNvPr>
        <xdr:cNvCxnSpPr/>
      </xdr:nvCxnSpPr>
      <xdr:spPr>
        <a:xfrm flipV="1">
          <a:off x="0" y="855726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0A8302A-5805-484F-96BE-B91EEF59A7B0}"/>
            </a:ext>
          </a:extLst>
        </xdr:cNvPr>
        <xdr:cNvCxnSpPr/>
      </xdr:nvCxnSpPr>
      <xdr:spPr>
        <a:xfrm>
          <a:off x="0" y="30403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4A15457-5196-447B-938B-C8ECEA00F7E4}"/>
            </a:ext>
          </a:extLst>
        </xdr:cNvPr>
        <xdr:cNvCxnSpPr/>
      </xdr:nvCxnSpPr>
      <xdr:spPr>
        <a:xfrm flipV="1"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5A7E5AE0-7602-402A-84E5-6ABC0947768E}"/>
            </a:ext>
          </a:extLst>
        </xdr:cNvPr>
        <xdr:cNvCxnSpPr/>
      </xdr:nvCxnSpPr>
      <xdr:spPr>
        <a:xfrm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</xdr:row>
      <xdr:rowOff>0</xdr:rowOff>
    </xdr:from>
    <xdr:to>
      <xdr:col>0</xdr:col>
      <xdr:colOff>0</xdr:colOff>
      <xdr:row>46</xdr:row>
      <xdr:rowOff>8965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F01BE51D-7162-4FF3-89EA-230ED91B112A}"/>
            </a:ext>
          </a:extLst>
        </xdr:cNvPr>
        <xdr:cNvCxnSpPr/>
      </xdr:nvCxnSpPr>
      <xdr:spPr>
        <a:xfrm flipV="1">
          <a:off x="0" y="855726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40A8C9D4-10B0-4C39-AE0A-653CA9E1972D}"/>
            </a:ext>
          </a:extLst>
        </xdr:cNvPr>
        <xdr:cNvCxnSpPr/>
      </xdr:nvCxnSpPr>
      <xdr:spPr>
        <a:xfrm>
          <a:off x="0" y="652272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FB9551F-68FA-4615-8F30-23D03AE8B14F}"/>
            </a:ext>
          </a:extLst>
        </xdr:cNvPr>
        <xdr:cNvCxnSpPr/>
      </xdr:nvCxnSpPr>
      <xdr:spPr>
        <a:xfrm>
          <a:off x="0" y="652272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921FEFB7-02E2-4240-A54B-122DFD3743EF}"/>
            </a:ext>
          </a:extLst>
        </xdr:cNvPr>
        <xdr:cNvCxnSpPr/>
      </xdr:nvCxnSpPr>
      <xdr:spPr>
        <a:xfrm>
          <a:off x="0" y="1395398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</xdr:row>
      <xdr:rowOff>177949</xdr:rowOff>
    </xdr:from>
    <xdr:to>
      <xdr:col>0</xdr:col>
      <xdr:colOff>17930</xdr:colOff>
      <xdr:row>28</xdr:row>
      <xdr:rowOff>177949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5AA24F1-3E30-47BA-8675-82FAD7004355}"/>
            </a:ext>
          </a:extLst>
        </xdr:cNvPr>
        <xdr:cNvCxnSpPr/>
      </xdr:nvCxnSpPr>
      <xdr:spPr>
        <a:xfrm>
          <a:off x="0" y="5412889"/>
          <a:ext cx="179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3F07DDEE-B4C7-4741-BDDE-DDDB2AC138E6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42</xdr:row>
      <xdr:rowOff>185351</xdr:rowOff>
    </xdr:from>
    <xdr:to>
      <xdr:col>0</xdr:col>
      <xdr:colOff>3021</xdr:colOff>
      <xdr:row>43</xdr:row>
      <xdr:rowOff>7620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A0CBC6C-D0A3-4B5C-A6A4-37270D86B98E}"/>
            </a:ext>
          </a:extLst>
        </xdr:cNvPr>
        <xdr:cNvCxnSpPr/>
      </xdr:nvCxnSpPr>
      <xdr:spPr>
        <a:xfrm>
          <a:off x="0" y="8011091"/>
          <a:ext cx="3021" cy="514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80683</xdr:colOff>
      <xdr:row>12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BEE5F5E-F03C-4850-B334-F6766D48049A}"/>
            </a:ext>
          </a:extLst>
        </xdr:cNvPr>
        <xdr:cNvCxnSpPr/>
      </xdr:nvCxnSpPr>
      <xdr:spPr>
        <a:xfrm>
          <a:off x="0" y="230886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</xdr:row>
      <xdr:rowOff>20594</xdr:rowOff>
    </xdr:from>
    <xdr:to>
      <xdr:col>0</xdr:col>
      <xdr:colOff>91343</xdr:colOff>
      <xdr:row>29</xdr:row>
      <xdr:rowOff>29558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E1F886B-069C-4E19-B46D-4ED3C392242A}"/>
            </a:ext>
          </a:extLst>
        </xdr:cNvPr>
        <xdr:cNvCxnSpPr/>
      </xdr:nvCxnSpPr>
      <xdr:spPr>
        <a:xfrm>
          <a:off x="0" y="5446034"/>
          <a:ext cx="91343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170330</xdr:rowOff>
    </xdr:from>
    <xdr:to>
      <xdr:col>0</xdr:col>
      <xdr:colOff>17930</xdr:colOff>
      <xdr:row>33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B42642B8-337B-408F-96C4-9DF1A4174D5C}"/>
            </a:ext>
          </a:extLst>
        </xdr:cNvPr>
        <xdr:cNvCxnSpPr/>
      </xdr:nvCxnSpPr>
      <xdr:spPr>
        <a:xfrm>
          <a:off x="0" y="6144410"/>
          <a:ext cx="17930" cy="12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</xdr:row>
      <xdr:rowOff>1</xdr:rowOff>
    </xdr:from>
    <xdr:to>
      <xdr:col>0</xdr:col>
      <xdr:colOff>11205</xdr:colOff>
      <xdr:row>31</xdr:row>
      <xdr:rowOff>1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94E3DFBC-CD7B-4FAB-818D-C8E187B0B424}"/>
            </a:ext>
          </a:extLst>
        </xdr:cNvPr>
        <xdr:cNvCxnSpPr/>
      </xdr:nvCxnSpPr>
      <xdr:spPr>
        <a:xfrm>
          <a:off x="0" y="5791201"/>
          <a:ext cx="1120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E15335DA-006C-48EE-842B-B71F9D6BFFC4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80683</xdr:colOff>
      <xdr:row>12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EABBE537-3A38-4182-8174-E130D0E1FBAE}"/>
            </a:ext>
          </a:extLst>
        </xdr:cNvPr>
        <xdr:cNvCxnSpPr/>
      </xdr:nvCxnSpPr>
      <xdr:spPr>
        <a:xfrm>
          <a:off x="0" y="230886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8965</xdr:colOff>
      <xdr:row>28</xdr:row>
      <xdr:rowOff>8964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9D18662-0A2F-47D6-B8F0-03A090FA15F7}"/>
            </a:ext>
          </a:extLst>
        </xdr:cNvPr>
        <xdr:cNvCxnSpPr/>
      </xdr:nvCxnSpPr>
      <xdr:spPr>
        <a:xfrm>
          <a:off x="0" y="5234940"/>
          <a:ext cx="8965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170330</xdr:rowOff>
    </xdr:from>
    <xdr:to>
      <xdr:col>0</xdr:col>
      <xdr:colOff>17930</xdr:colOff>
      <xdr:row>33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3F2B9B3A-ACB5-4B48-B0CF-3EA512274F18}"/>
            </a:ext>
          </a:extLst>
        </xdr:cNvPr>
        <xdr:cNvCxnSpPr/>
      </xdr:nvCxnSpPr>
      <xdr:spPr>
        <a:xfrm>
          <a:off x="0" y="6144410"/>
          <a:ext cx="17930" cy="12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49206197-A075-4264-9F15-0A8B3B45F84F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11151</xdr:colOff>
      <xdr:row>17</xdr:row>
      <xdr:rowOff>7434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3A6E2B11-0C92-47A1-8209-BCBDF10FD06D}"/>
            </a:ext>
          </a:extLst>
        </xdr:cNvPr>
        <xdr:cNvCxnSpPr/>
      </xdr:nvCxnSpPr>
      <xdr:spPr>
        <a:xfrm>
          <a:off x="0" y="3223260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90E4E750-F7C7-460E-BF9B-94AB0BE0FD2A}"/>
            </a:ext>
          </a:extLst>
        </xdr:cNvPr>
        <xdr:cNvCxnSpPr/>
      </xdr:nvCxnSpPr>
      <xdr:spPr>
        <a:xfrm>
          <a:off x="0" y="1395398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C52BEA8F-BEBA-4695-8CF4-16FDCAD14566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EFEA8BB7-7BA6-4D2F-A1AC-13AE8AE226F2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7B158E57-196D-454D-905A-90BA623B70DE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3A398E39-6379-4252-A46C-EAC98470AAFB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8DF9286A-D71A-4581-8379-0AB1CD5C7828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AB25447C-8A16-4A09-8F30-4F2668195F54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F8E2B0C6-A80E-40A6-8070-B965E4FCE1AF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771EFE9-915B-4944-A019-B5C5CE796EF6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9CD51D-D64A-48FB-A969-399B36C5407B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11151</xdr:colOff>
      <xdr:row>17</xdr:row>
      <xdr:rowOff>7434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CE56724F-2A61-418C-9536-0CA7220E4598}"/>
            </a:ext>
          </a:extLst>
        </xdr:cNvPr>
        <xdr:cNvCxnSpPr/>
      </xdr:nvCxnSpPr>
      <xdr:spPr>
        <a:xfrm>
          <a:off x="0" y="3223260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0B61B3D-491E-4D84-860D-56714171DF27}"/>
            </a:ext>
          </a:extLst>
        </xdr:cNvPr>
        <xdr:cNvCxnSpPr/>
      </xdr:nvCxnSpPr>
      <xdr:spPr>
        <a:xfrm>
          <a:off x="0" y="30403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8F8A2E5-E696-41BD-8D42-BC803CD1560A}"/>
            </a:ext>
          </a:extLst>
        </xdr:cNvPr>
        <xdr:cNvCxnSpPr/>
      </xdr:nvCxnSpPr>
      <xdr:spPr>
        <a:xfrm flipV="1"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</xdr:row>
      <xdr:rowOff>0</xdr:rowOff>
    </xdr:from>
    <xdr:to>
      <xdr:col>0</xdr:col>
      <xdr:colOff>0</xdr:colOff>
      <xdr:row>33</xdr:row>
      <xdr:rowOff>6096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11543CB-295D-4A48-9CF4-959043689553}"/>
            </a:ext>
          </a:extLst>
        </xdr:cNvPr>
        <xdr:cNvCxnSpPr/>
      </xdr:nvCxnSpPr>
      <xdr:spPr>
        <a:xfrm flipV="1">
          <a:off x="0" y="6156960"/>
          <a:ext cx="0" cy="60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B9B20CD-B694-4E83-8492-E55C2C896054}"/>
            </a:ext>
          </a:extLst>
        </xdr:cNvPr>
        <xdr:cNvCxnSpPr/>
      </xdr:nvCxnSpPr>
      <xdr:spPr>
        <a:xfrm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44</xdr:row>
      <xdr:rowOff>0</xdr:rowOff>
    </xdr:from>
    <xdr:to>
      <xdr:col>0</xdr:col>
      <xdr:colOff>0</xdr:colOff>
      <xdr:row>44</xdr:row>
      <xdr:rowOff>7620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F2B2D01-A104-4882-A334-9094D4E2EC19}"/>
            </a:ext>
          </a:extLst>
        </xdr:cNvPr>
        <xdr:cNvCxnSpPr/>
      </xdr:nvCxnSpPr>
      <xdr:spPr>
        <a:xfrm>
          <a:off x="0" y="7993380"/>
          <a:ext cx="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</xdr:row>
      <xdr:rowOff>0</xdr:rowOff>
    </xdr:from>
    <xdr:to>
      <xdr:col>0</xdr:col>
      <xdr:colOff>0</xdr:colOff>
      <xdr:row>46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3575D5F-D3D6-4B99-B62B-E655874B30F4}"/>
            </a:ext>
          </a:extLst>
        </xdr:cNvPr>
        <xdr:cNvCxnSpPr/>
      </xdr:nvCxnSpPr>
      <xdr:spPr>
        <a:xfrm flipV="1">
          <a:off x="0" y="835914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B61E44F-3BE2-4CDA-BF41-0B4E2A2BE921}"/>
            </a:ext>
          </a:extLst>
        </xdr:cNvPr>
        <xdr:cNvCxnSpPr/>
      </xdr:nvCxnSpPr>
      <xdr:spPr>
        <a:xfrm>
          <a:off x="0" y="30403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B23A4C5-D426-4B77-BEEF-A34D759F2C50}"/>
            </a:ext>
          </a:extLst>
        </xdr:cNvPr>
        <xdr:cNvCxnSpPr/>
      </xdr:nvCxnSpPr>
      <xdr:spPr>
        <a:xfrm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</xdr:row>
      <xdr:rowOff>0</xdr:rowOff>
    </xdr:from>
    <xdr:to>
      <xdr:col>0</xdr:col>
      <xdr:colOff>0</xdr:colOff>
      <xdr:row>46</xdr:row>
      <xdr:rowOff>8965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ABDD97A-8D37-4F56-9891-A3E003CD4DD2}"/>
            </a:ext>
          </a:extLst>
        </xdr:cNvPr>
        <xdr:cNvCxnSpPr/>
      </xdr:nvCxnSpPr>
      <xdr:spPr>
        <a:xfrm flipV="1">
          <a:off x="0" y="835914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3304360-F120-4877-9847-D1031FE6519B}"/>
            </a:ext>
          </a:extLst>
        </xdr:cNvPr>
        <xdr:cNvCxnSpPr/>
      </xdr:nvCxnSpPr>
      <xdr:spPr>
        <a:xfrm>
          <a:off x="0" y="30403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1BF46F6-B58D-4B2B-84E2-DD8DD4FD088C}"/>
            </a:ext>
          </a:extLst>
        </xdr:cNvPr>
        <xdr:cNvCxnSpPr/>
      </xdr:nvCxnSpPr>
      <xdr:spPr>
        <a:xfrm flipV="1"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E51F1EE-BD57-4206-946D-74DFDAD36E00}"/>
            </a:ext>
          </a:extLst>
        </xdr:cNvPr>
        <xdr:cNvCxnSpPr/>
      </xdr:nvCxnSpPr>
      <xdr:spPr>
        <a:xfrm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</xdr:row>
      <xdr:rowOff>0</xdr:rowOff>
    </xdr:from>
    <xdr:to>
      <xdr:col>0</xdr:col>
      <xdr:colOff>0</xdr:colOff>
      <xdr:row>46</xdr:row>
      <xdr:rowOff>8965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B8DA3D11-F4A1-44AB-A187-AD63942BECBB}"/>
            </a:ext>
          </a:extLst>
        </xdr:cNvPr>
        <xdr:cNvCxnSpPr/>
      </xdr:nvCxnSpPr>
      <xdr:spPr>
        <a:xfrm flipV="1">
          <a:off x="0" y="835914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CF2FC0F-8FA9-4F82-97C1-558C01922274}"/>
            </a:ext>
          </a:extLst>
        </xdr:cNvPr>
        <xdr:cNvCxnSpPr/>
      </xdr:nvCxnSpPr>
      <xdr:spPr>
        <a:xfrm>
          <a:off x="0" y="652272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CC1E1682-1E2E-47F0-B0F0-E32F63F78566}"/>
            </a:ext>
          </a:extLst>
        </xdr:cNvPr>
        <xdr:cNvCxnSpPr/>
      </xdr:nvCxnSpPr>
      <xdr:spPr>
        <a:xfrm>
          <a:off x="0" y="652272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1F51EBA0-9333-4200-A492-3D6218FC6570}"/>
            </a:ext>
          </a:extLst>
        </xdr:cNvPr>
        <xdr:cNvCxnSpPr/>
      </xdr:nvCxnSpPr>
      <xdr:spPr>
        <a:xfrm>
          <a:off x="0" y="1395398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</xdr:row>
      <xdr:rowOff>177949</xdr:rowOff>
    </xdr:from>
    <xdr:to>
      <xdr:col>0</xdr:col>
      <xdr:colOff>17930</xdr:colOff>
      <xdr:row>28</xdr:row>
      <xdr:rowOff>177949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F2566AC-0E1B-4C92-9F92-5C2F8D417D90}"/>
            </a:ext>
          </a:extLst>
        </xdr:cNvPr>
        <xdr:cNvCxnSpPr/>
      </xdr:nvCxnSpPr>
      <xdr:spPr>
        <a:xfrm>
          <a:off x="0" y="5412889"/>
          <a:ext cx="179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F5DD9D72-774B-4BBD-9D71-F9B83040CA01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42</xdr:row>
      <xdr:rowOff>185351</xdr:rowOff>
    </xdr:from>
    <xdr:to>
      <xdr:col>0</xdr:col>
      <xdr:colOff>3021</xdr:colOff>
      <xdr:row>43</xdr:row>
      <xdr:rowOff>7620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9F81E484-5745-4A87-BEDF-204141B4ABC8}"/>
            </a:ext>
          </a:extLst>
        </xdr:cNvPr>
        <xdr:cNvCxnSpPr/>
      </xdr:nvCxnSpPr>
      <xdr:spPr>
        <a:xfrm>
          <a:off x="0" y="7812971"/>
          <a:ext cx="3021" cy="514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80683</xdr:colOff>
      <xdr:row>12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427DC48-EDF1-41B7-935B-B8CAC6F64E9D}"/>
            </a:ext>
          </a:extLst>
        </xdr:cNvPr>
        <xdr:cNvCxnSpPr/>
      </xdr:nvCxnSpPr>
      <xdr:spPr>
        <a:xfrm>
          <a:off x="0" y="230886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</xdr:row>
      <xdr:rowOff>20594</xdr:rowOff>
    </xdr:from>
    <xdr:to>
      <xdr:col>0</xdr:col>
      <xdr:colOff>91343</xdr:colOff>
      <xdr:row>29</xdr:row>
      <xdr:rowOff>29558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F47037F-5E28-4032-8034-745EE61C7C4C}"/>
            </a:ext>
          </a:extLst>
        </xdr:cNvPr>
        <xdr:cNvCxnSpPr/>
      </xdr:nvCxnSpPr>
      <xdr:spPr>
        <a:xfrm>
          <a:off x="0" y="5446034"/>
          <a:ext cx="91343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170330</xdr:rowOff>
    </xdr:from>
    <xdr:to>
      <xdr:col>0</xdr:col>
      <xdr:colOff>17930</xdr:colOff>
      <xdr:row>33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1D8ED311-CA93-405A-8338-82C47D6B82E4}"/>
            </a:ext>
          </a:extLst>
        </xdr:cNvPr>
        <xdr:cNvCxnSpPr/>
      </xdr:nvCxnSpPr>
      <xdr:spPr>
        <a:xfrm>
          <a:off x="0" y="6144410"/>
          <a:ext cx="17930" cy="12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</xdr:row>
      <xdr:rowOff>1</xdr:rowOff>
    </xdr:from>
    <xdr:to>
      <xdr:col>0</xdr:col>
      <xdr:colOff>11205</xdr:colOff>
      <xdr:row>31</xdr:row>
      <xdr:rowOff>1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88EA47C0-46D0-4EEB-BA22-C4B4BB0EF3DE}"/>
            </a:ext>
          </a:extLst>
        </xdr:cNvPr>
        <xdr:cNvCxnSpPr/>
      </xdr:nvCxnSpPr>
      <xdr:spPr>
        <a:xfrm>
          <a:off x="0" y="5791201"/>
          <a:ext cx="1120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2AB6F38B-32B6-406A-BC7E-F4E59A843A78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80683</xdr:colOff>
      <xdr:row>12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C50A228D-DC04-434E-B1F0-9EEF78B45FAB}"/>
            </a:ext>
          </a:extLst>
        </xdr:cNvPr>
        <xdr:cNvCxnSpPr/>
      </xdr:nvCxnSpPr>
      <xdr:spPr>
        <a:xfrm>
          <a:off x="0" y="230886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8965</xdr:colOff>
      <xdr:row>28</xdr:row>
      <xdr:rowOff>8964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99E6E115-16D6-4B93-946F-1FF17CA15AB1}"/>
            </a:ext>
          </a:extLst>
        </xdr:cNvPr>
        <xdr:cNvCxnSpPr/>
      </xdr:nvCxnSpPr>
      <xdr:spPr>
        <a:xfrm>
          <a:off x="0" y="5234940"/>
          <a:ext cx="8965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170330</xdr:rowOff>
    </xdr:from>
    <xdr:to>
      <xdr:col>0</xdr:col>
      <xdr:colOff>17930</xdr:colOff>
      <xdr:row>33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199DE02E-3901-4042-9E19-F28C3C69D5FA}"/>
            </a:ext>
          </a:extLst>
        </xdr:cNvPr>
        <xdr:cNvCxnSpPr/>
      </xdr:nvCxnSpPr>
      <xdr:spPr>
        <a:xfrm>
          <a:off x="0" y="6144410"/>
          <a:ext cx="17930" cy="12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55696926-3FF9-4D30-B4B6-6A00094365F9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11151</xdr:colOff>
      <xdr:row>17</xdr:row>
      <xdr:rowOff>7434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C9F868EE-70FC-42C8-8DE0-B14C4CB42DD5}"/>
            </a:ext>
          </a:extLst>
        </xdr:cNvPr>
        <xdr:cNvCxnSpPr/>
      </xdr:nvCxnSpPr>
      <xdr:spPr>
        <a:xfrm>
          <a:off x="0" y="3223260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E12A8A42-E62E-45B2-B280-0E7071348233}"/>
            </a:ext>
          </a:extLst>
        </xdr:cNvPr>
        <xdr:cNvCxnSpPr/>
      </xdr:nvCxnSpPr>
      <xdr:spPr>
        <a:xfrm>
          <a:off x="0" y="1395398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5FDA9606-4BF6-4AE5-AE2B-053537C1CFF9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47EFFD8A-CE0C-4A1A-9657-2C034397096B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CF24B6EC-C8B8-4CE0-9C69-0DCEFA0CA333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6F827282-D958-4A11-A38D-DD8008413462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D43E2DBF-DCA2-4A48-B13F-5AA52ACFEDE8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25C43145-2092-4A2B-A9DD-0F60AB0F2D4A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9E5509C8-013F-44D6-9043-B22E57695571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DE7FB782-A694-48F6-8D60-F21FB676830E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F1024E17-F1F9-4204-8205-AA84D0D7EBE4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11151</xdr:colOff>
      <xdr:row>17</xdr:row>
      <xdr:rowOff>7434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B43BE5D0-A3DF-4C9D-9A23-783517168EC9}"/>
            </a:ext>
          </a:extLst>
        </xdr:cNvPr>
        <xdr:cNvCxnSpPr/>
      </xdr:nvCxnSpPr>
      <xdr:spPr>
        <a:xfrm>
          <a:off x="0" y="3223260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3FE9B07-61B6-4ABE-A5E1-9162F689A6FC}"/>
            </a:ext>
          </a:extLst>
        </xdr:cNvPr>
        <xdr:cNvCxnSpPr/>
      </xdr:nvCxnSpPr>
      <xdr:spPr>
        <a:xfrm>
          <a:off x="0" y="30403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C312F33-D0E1-49FE-BDC5-A6E8DF54CC5B}"/>
            </a:ext>
          </a:extLst>
        </xdr:cNvPr>
        <xdr:cNvCxnSpPr/>
      </xdr:nvCxnSpPr>
      <xdr:spPr>
        <a:xfrm flipV="1"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</xdr:row>
      <xdr:rowOff>0</xdr:rowOff>
    </xdr:from>
    <xdr:to>
      <xdr:col>0</xdr:col>
      <xdr:colOff>0</xdr:colOff>
      <xdr:row>34</xdr:row>
      <xdr:rowOff>6096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F979BAC-D8B1-4E15-8B67-46B1B02EB934}"/>
            </a:ext>
          </a:extLst>
        </xdr:cNvPr>
        <xdr:cNvCxnSpPr/>
      </xdr:nvCxnSpPr>
      <xdr:spPr>
        <a:xfrm flipV="1">
          <a:off x="0" y="6156960"/>
          <a:ext cx="0" cy="60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20971FB-3845-4DEA-881C-C26D726A7E18}"/>
            </a:ext>
          </a:extLst>
        </xdr:cNvPr>
        <xdr:cNvCxnSpPr/>
      </xdr:nvCxnSpPr>
      <xdr:spPr>
        <a:xfrm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45</xdr:row>
      <xdr:rowOff>0</xdr:rowOff>
    </xdr:from>
    <xdr:to>
      <xdr:col>0</xdr:col>
      <xdr:colOff>0</xdr:colOff>
      <xdr:row>45</xdr:row>
      <xdr:rowOff>7620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FF662CA-CCDE-41B0-BD19-79C648432E44}"/>
            </a:ext>
          </a:extLst>
        </xdr:cNvPr>
        <xdr:cNvCxnSpPr/>
      </xdr:nvCxnSpPr>
      <xdr:spPr>
        <a:xfrm>
          <a:off x="0" y="8176260"/>
          <a:ext cx="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47</xdr:row>
      <xdr:rowOff>0</xdr:rowOff>
    </xdr:from>
    <xdr:to>
      <xdr:col>0</xdr:col>
      <xdr:colOff>0</xdr:colOff>
      <xdr:row>47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137653A-93C8-4B4D-9660-8251E88B96D6}"/>
            </a:ext>
          </a:extLst>
        </xdr:cNvPr>
        <xdr:cNvCxnSpPr/>
      </xdr:nvCxnSpPr>
      <xdr:spPr>
        <a:xfrm flipV="1">
          <a:off x="0" y="854202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8EC2EFA-48B0-4C47-8927-7DBEC79A693C}"/>
            </a:ext>
          </a:extLst>
        </xdr:cNvPr>
        <xdr:cNvCxnSpPr/>
      </xdr:nvCxnSpPr>
      <xdr:spPr>
        <a:xfrm>
          <a:off x="0" y="30403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6E836C7-B9C5-4F93-8F5E-7DB810F9716D}"/>
            </a:ext>
          </a:extLst>
        </xdr:cNvPr>
        <xdr:cNvCxnSpPr/>
      </xdr:nvCxnSpPr>
      <xdr:spPr>
        <a:xfrm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47</xdr:row>
      <xdr:rowOff>0</xdr:rowOff>
    </xdr:from>
    <xdr:to>
      <xdr:col>0</xdr:col>
      <xdr:colOff>0</xdr:colOff>
      <xdr:row>47</xdr:row>
      <xdr:rowOff>8965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8E7B22E-43D9-481F-AC36-6C9C13A65905}"/>
            </a:ext>
          </a:extLst>
        </xdr:cNvPr>
        <xdr:cNvCxnSpPr/>
      </xdr:nvCxnSpPr>
      <xdr:spPr>
        <a:xfrm flipV="1">
          <a:off x="0" y="854202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AC04C47-4CDB-4A7C-9977-D46D4A314247}"/>
            </a:ext>
          </a:extLst>
        </xdr:cNvPr>
        <xdr:cNvCxnSpPr/>
      </xdr:nvCxnSpPr>
      <xdr:spPr>
        <a:xfrm>
          <a:off x="0" y="30403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5CD68DD-FCFD-49D1-A8D9-BF8C4DFADCBB}"/>
            </a:ext>
          </a:extLst>
        </xdr:cNvPr>
        <xdr:cNvCxnSpPr/>
      </xdr:nvCxnSpPr>
      <xdr:spPr>
        <a:xfrm flipV="1"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AFC5EBE-587D-4FE2-BE51-FAAFC98C26B5}"/>
            </a:ext>
          </a:extLst>
        </xdr:cNvPr>
        <xdr:cNvCxnSpPr/>
      </xdr:nvCxnSpPr>
      <xdr:spPr>
        <a:xfrm>
          <a:off x="0" y="46863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47</xdr:row>
      <xdr:rowOff>0</xdr:rowOff>
    </xdr:from>
    <xdr:to>
      <xdr:col>0</xdr:col>
      <xdr:colOff>0</xdr:colOff>
      <xdr:row>47</xdr:row>
      <xdr:rowOff>8965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EF306CF4-9F73-43ED-A358-ED76FBB5AD05}"/>
            </a:ext>
          </a:extLst>
        </xdr:cNvPr>
        <xdr:cNvCxnSpPr/>
      </xdr:nvCxnSpPr>
      <xdr:spPr>
        <a:xfrm flipV="1">
          <a:off x="0" y="854202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14F2AA76-9DC5-4C4E-ADC4-6954C06C6FBD}"/>
            </a:ext>
          </a:extLst>
        </xdr:cNvPr>
        <xdr:cNvCxnSpPr/>
      </xdr:nvCxnSpPr>
      <xdr:spPr>
        <a:xfrm>
          <a:off x="0" y="652272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3B7132E3-785C-4B15-B905-1C6373437E67}"/>
            </a:ext>
          </a:extLst>
        </xdr:cNvPr>
        <xdr:cNvCxnSpPr/>
      </xdr:nvCxnSpPr>
      <xdr:spPr>
        <a:xfrm>
          <a:off x="0" y="652272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E29F81E0-008F-4BE6-8888-FCE3507B9A6F}"/>
            </a:ext>
          </a:extLst>
        </xdr:cNvPr>
        <xdr:cNvCxnSpPr/>
      </xdr:nvCxnSpPr>
      <xdr:spPr>
        <a:xfrm>
          <a:off x="0" y="1395398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</xdr:row>
      <xdr:rowOff>177949</xdr:rowOff>
    </xdr:from>
    <xdr:to>
      <xdr:col>0</xdr:col>
      <xdr:colOff>17930</xdr:colOff>
      <xdr:row>29</xdr:row>
      <xdr:rowOff>177949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F33298A-296A-4458-93DD-051978A2CE8A}"/>
            </a:ext>
          </a:extLst>
        </xdr:cNvPr>
        <xdr:cNvCxnSpPr/>
      </xdr:nvCxnSpPr>
      <xdr:spPr>
        <a:xfrm>
          <a:off x="0" y="5412889"/>
          <a:ext cx="179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69918650-591A-4124-A23E-1AC10FA622CD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43</xdr:row>
      <xdr:rowOff>185351</xdr:rowOff>
    </xdr:from>
    <xdr:to>
      <xdr:col>0</xdr:col>
      <xdr:colOff>3021</xdr:colOff>
      <xdr:row>44</xdr:row>
      <xdr:rowOff>7620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E6D5A409-9A30-461E-8242-2ED09DFBD01F}"/>
            </a:ext>
          </a:extLst>
        </xdr:cNvPr>
        <xdr:cNvCxnSpPr/>
      </xdr:nvCxnSpPr>
      <xdr:spPr>
        <a:xfrm>
          <a:off x="0" y="7995851"/>
          <a:ext cx="3021" cy="514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80683</xdr:colOff>
      <xdr:row>13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A308772-7783-44D6-ABC8-7D6E2A5F7D1E}"/>
            </a:ext>
          </a:extLst>
        </xdr:cNvPr>
        <xdr:cNvCxnSpPr/>
      </xdr:nvCxnSpPr>
      <xdr:spPr>
        <a:xfrm>
          <a:off x="0" y="230886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</xdr:row>
      <xdr:rowOff>20594</xdr:rowOff>
    </xdr:from>
    <xdr:to>
      <xdr:col>0</xdr:col>
      <xdr:colOff>91343</xdr:colOff>
      <xdr:row>30</xdr:row>
      <xdr:rowOff>29558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F2B81A7D-6103-4962-8B41-CFB18C63F149}"/>
            </a:ext>
          </a:extLst>
        </xdr:cNvPr>
        <xdr:cNvCxnSpPr/>
      </xdr:nvCxnSpPr>
      <xdr:spPr>
        <a:xfrm>
          <a:off x="0" y="5446034"/>
          <a:ext cx="91343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</xdr:row>
      <xdr:rowOff>170330</xdr:rowOff>
    </xdr:from>
    <xdr:to>
      <xdr:col>0</xdr:col>
      <xdr:colOff>17930</xdr:colOff>
      <xdr:row>34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2BE28357-36DA-48E7-982F-37C28D68BBDA}"/>
            </a:ext>
          </a:extLst>
        </xdr:cNvPr>
        <xdr:cNvCxnSpPr/>
      </xdr:nvCxnSpPr>
      <xdr:spPr>
        <a:xfrm>
          <a:off x="0" y="6144410"/>
          <a:ext cx="17930" cy="12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1</xdr:rowOff>
    </xdr:from>
    <xdr:to>
      <xdr:col>0</xdr:col>
      <xdr:colOff>11205</xdr:colOff>
      <xdr:row>32</xdr:row>
      <xdr:rowOff>1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554868E4-7DA0-4F27-8CDC-0FC3EC9BBEAF}"/>
            </a:ext>
          </a:extLst>
        </xdr:cNvPr>
        <xdr:cNvCxnSpPr/>
      </xdr:nvCxnSpPr>
      <xdr:spPr>
        <a:xfrm>
          <a:off x="0" y="5791201"/>
          <a:ext cx="1120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7A04E680-3C44-4185-9559-2593177CC0E9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80683</xdr:colOff>
      <xdr:row>13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CD09A3AD-DD38-411C-A77E-AECAE1387F30}"/>
            </a:ext>
          </a:extLst>
        </xdr:cNvPr>
        <xdr:cNvCxnSpPr/>
      </xdr:nvCxnSpPr>
      <xdr:spPr>
        <a:xfrm>
          <a:off x="0" y="230886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</xdr:row>
      <xdr:rowOff>0</xdr:rowOff>
    </xdr:from>
    <xdr:to>
      <xdr:col>0</xdr:col>
      <xdr:colOff>8965</xdr:colOff>
      <xdr:row>29</xdr:row>
      <xdr:rowOff>8964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653FBE9-2041-4D31-BE5F-4E14A0FA5E4E}"/>
            </a:ext>
          </a:extLst>
        </xdr:cNvPr>
        <xdr:cNvCxnSpPr/>
      </xdr:nvCxnSpPr>
      <xdr:spPr>
        <a:xfrm>
          <a:off x="0" y="5234940"/>
          <a:ext cx="8965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</xdr:row>
      <xdr:rowOff>170330</xdr:rowOff>
    </xdr:from>
    <xdr:to>
      <xdr:col>0</xdr:col>
      <xdr:colOff>17930</xdr:colOff>
      <xdr:row>34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A4C08A43-15C7-42CC-B7F5-62C373383732}"/>
            </a:ext>
          </a:extLst>
        </xdr:cNvPr>
        <xdr:cNvCxnSpPr/>
      </xdr:nvCxnSpPr>
      <xdr:spPr>
        <a:xfrm>
          <a:off x="0" y="6144410"/>
          <a:ext cx="17930" cy="12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7424DFC1-9031-4202-99C0-BE082CF63F46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11151</xdr:colOff>
      <xdr:row>18</xdr:row>
      <xdr:rowOff>7434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6426ADE6-70AE-4E55-9638-AB3D39968340}"/>
            </a:ext>
          </a:extLst>
        </xdr:cNvPr>
        <xdr:cNvCxnSpPr/>
      </xdr:nvCxnSpPr>
      <xdr:spPr>
        <a:xfrm>
          <a:off x="0" y="3223260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7B5E481B-33F7-4C1D-937C-AB7190EF3711}"/>
            </a:ext>
          </a:extLst>
        </xdr:cNvPr>
        <xdr:cNvCxnSpPr/>
      </xdr:nvCxnSpPr>
      <xdr:spPr>
        <a:xfrm>
          <a:off x="0" y="1395398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6A68798-154A-4AB1-8D56-C3E005C3F4DE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E06C277E-E41A-47B7-A41F-1D1025A78163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C2B4D340-6FE9-44BB-9A60-ADBE41394D08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282929D7-1725-4176-8151-9AE61830EEA8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30C54F95-B61C-4FB8-8A53-EDC40C028442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B6B544F5-FDED-4651-8D2B-9DF43C60B1B6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2ADA4ED4-C457-435D-9D6C-9BCD571A9D6E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67B19649-BC68-401B-9069-5C9A1629104B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6C10FCED-3385-4454-8CF2-93DCC434134D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11151</xdr:colOff>
      <xdr:row>18</xdr:row>
      <xdr:rowOff>7434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71BB98C-8C4B-420B-B37D-709AE484AD4D}"/>
            </a:ext>
          </a:extLst>
        </xdr:cNvPr>
        <xdr:cNvCxnSpPr/>
      </xdr:nvCxnSpPr>
      <xdr:spPr>
        <a:xfrm>
          <a:off x="0" y="3223260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3B8BFB8-CD14-4B53-9D37-1FCB60F2F7A5}"/>
            </a:ext>
          </a:extLst>
        </xdr:cNvPr>
        <xdr:cNvCxnSpPr/>
      </xdr:nvCxnSpPr>
      <xdr:spPr>
        <a:xfrm>
          <a:off x="0" y="322326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4866575-F7C6-4ACE-9ED4-C55E2862062F}"/>
            </a:ext>
          </a:extLst>
        </xdr:cNvPr>
        <xdr:cNvCxnSpPr/>
      </xdr:nvCxnSpPr>
      <xdr:spPr>
        <a:xfrm flipV="1">
          <a:off x="0" y="48691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</xdr:row>
      <xdr:rowOff>0</xdr:rowOff>
    </xdr:from>
    <xdr:to>
      <xdr:col>0</xdr:col>
      <xdr:colOff>0</xdr:colOff>
      <xdr:row>34</xdr:row>
      <xdr:rowOff>6096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BB56438-19D3-48CD-B73B-465EC970E8F9}"/>
            </a:ext>
          </a:extLst>
        </xdr:cNvPr>
        <xdr:cNvCxnSpPr/>
      </xdr:nvCxnSpPr>
      <xdr:spPr>
        <a:xfrm flipV="1">
          <a:off x="0" y="6339840"/>
          <a:ext cx="0" cy="609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E96D9BC-4A45-4496-917F-B8BF10FB45D7}"/>
            </a:ext>
          </a:extLst>
        </xdr:cNvPr>
        <xdr:cNvCxnSpPr/>
      </xdr:nvCxnSpPr>
      <xdr:spPr>
        <a:xfrm>
          <a:off x="0" y="48691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45</xdr:row>
      <xdr:rowOff>0</xdr:rowOff>
    </xdr:from>
    <xdr:to>
      <xdr:col>0</xdr:col>
      <xdr:colOff>0</xdr:colOff>
      <xdr:row>45</xdr:row>
      <xdr:rowOff>7620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A03BC64-2CF7-4754-A081-71BFB43B6E11}"/>
            </a:ext>
          </a:extLst>
        </xdr:cNvPr>
        <xdr:cNvCxnSpPr/>
      </xdr:nvCxnSpPr>
      <xdr:spPr>
        <a:xfrm>
          <a:off x="0" y="8359140"/>
          <a:ext cx="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47</xdr:row>
      <xdr:rowOff>0</xdr:rowOff>
    </xdr:from>
    <xdr:to>
      <xdr:col>0</xdr:col>
      <xdr:colOff>0</xdr:colOff>
      <xdr:row>47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874AC1D-B2B0-4CE8-91E3-BC951CCAA25F}"/>
            </a:ext>
          </a:extLst>
        </xdr:cNvPr>
        <xdr:cNvCxnSpPr/>
      </xdr:nvCxnSpPr>
      <xdr:spPr>
        <a:xfrm flipV="1">
          <a:off x="0" y="872490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9604CCD-9595-43C9-A154-53CA5C9AFA67}"/>
            </a:ext>
          </a:extLst>
        </xdr:cNvPr>
        <xdr:cNvCxnSpPr/>
      </xdr:nvCxnSpPr>
      <xdr:spPr>
        <a:xfrm>
          <a:off x="0" y="322326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C0EE52E-B129-4DA3-B1D1-12F1749DBAD5}"/>
            </a:ext>
          </a:extLst>
        </xdr:cNvPr>
        <xdr:cNvCxnSpPr/>
      </xdr:nvCxnSpPr>
      <xdr:spPr>
        <a:xfrm>
          <a:off x="0" y="48691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47</xdr:row>
      <xdr:rowOff>0</xdr:rowOff>
    </xdr:from>
    <xdr:to>
      <xdr:col>0</xdr:col>
      <xdr:colOff>0</xdr:colOff>
      <xdr:row>47</xdr:row>
      <xdr:rowOff>8965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A4AE0B4-930F-40DC-A282-A94CFDEB1242}"/>
            </a:ext>
          </a:extLst>
        </xdr:cNvPr>
        <xdr:cNvCxnSpPr/>
      </xdr:nvCxnSpPr>
      <xdr:spPr>
        <a:xfrm flipV="1">
          <a:off x="0" y="872490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68D7A9A-B82D-4ADC-B9FE-156844C8CF3C}"/>
            </a:ext>
          </a:extLst>
        </xdr:cNvPr>
        <xdr:cNvCxnSpPr/>
      </xdr:nvCxnSpPr>
      <xdr:spPr>
        <a:xfrm>
          <a:off x="0" y="322326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03BED49-A9E3-4E2B-9910-81DBD36CAEE6}"/>
            </a:ext>
          </a:extLst>
        </xdr:cNvPr>
        <xdr:cNvCxnSpPr/>
      </xdr:nvCxnSpPr>
      <xdr:spPr>
        <a:xfrm flipV="1">
          <a:off x="0" y="48691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D0F727D-0531-474E-AF3C-C4DB42340F05}"/>
            </a:ext>
          </a:extLst>
        </xdr:cNvPr>
        <xdr:cNvCxnSpPr/>
      </xdr:nvCxnSpPr>
      <xdr:spPr>
        <a:xfrm>
          <a:off x="0" y="486918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47</xdr:row>
      <xdr:rowOff>0</xdr:rowOff>
    </xdr:from>
    <xdr:to>
      <xdr:col>0</xdr:col>
      <xdr:colOff>0</xdr:colOff>
      <xdr:row>47</xdr:row>
      <xdr:rowOff>8965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D74E5BD3-5A33-4340-865D-313F8D1AD2D3}"/>
            </a:ext>
          </a:extLst>
        </xdr:cNvPr>
        <xdr:cNvCxnSpPr/>
      </xdr:nvCxnSpPr>
      <xdr:spPr>
        <a:xfrm flipV="1">
          <a:off x="0" y="8724900"/>
          <a:ext cx="0" cy="89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D2881AC5-8615-44FD-8787-908078A56F70}"/>
            </a:ext>
          </a:extLst>
        </xdr:cNvPr>
        <xdr:cNvCxnSpPr/>
      </xdr:nvCxnSpPr>
      <xdr:spPr>
        <a:xfrm>
          <a:off x="0" y="67056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BF8D50D3-8FE9-4008-9E7D-825AD66B400E}"/>
            </a:ext>
          </a:extLst>
        </xdr:cNvPr>
        <xdr:cNvCxnSpPr/>
      </xdr:nvCxnSpPr>
      <xdr:spPr>
        <a:xfrm>
          <a:off x="0" y="670560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30A6E190-20B6-42C9-A39D-90A017CF80B2}"/>
            </a:ext>
          </a:extLst>
        </xdr:cNvPr>
        <xdr:cNvCxnSpPr/>
      </xdr:nvCxnSpPr>
      <xdr:spPr>
        <a:xfrm>
          <a:off x="0" y="1395398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</xdr:row>
      <xdr:rowOff>177949</xdr:rowOff>
    </xdr:from>
    <xdr:to>
      <xdr:col>0</xdr:col>
      <xdr:colOff>17930</xdr:colOff>
      <xdr:row>29</xdr:row>
      <xdr:rowOff>177949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FFE9364B-732A-460B-9269-418D1E5BFAF4}"/>
            </a:ext>
          </a:extLst>
        </xdr:cNvPr>
        <xdr:cNvCxnSpPr/>
      </xdr:nvCxnSpPr>
      <xdr:spPr>
        <a:xfrm>
          <a:off x="0" y="5595769"/>
          <a:ext cx="179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330D1CA7-02F0-42FB-BD85-D1CEC32E5516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43</xdr:row>
      <xdr:rowOff>185351</xdr:rowOff>
    </xdr:from>
    <xdr:to>
      <xdr:col>0</xdr:col>
      <xdr:colOff>3021</xdr:colOff>
      <xdr:row>44</xdr:row>
      <xdr:rowOff>7620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4FF6B97D-B1DB-45F7-AD60-33521A99233E}"/>
            </a:ext>
          </a:extLst>
        </xdr:cNvPr>
        <xdr:cNvCxnSpPr/>
      </xdr:nvCxnSpPr>
      <xdr:spPr>
        <a:xfrm>
          <a:off x="0" y="8178731"/>
          <a:ext cx="3021" cy="514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80683</xdr:colOff>
      <xdr:row>13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621035CD-1074-4F30-84C4-C2D9D2961611}"/>
            </a:ext>
          </a:extLst>
        </xdr:cNvPr>
        <xdr:cNvCxnSpPr/>
      </xdr:nvCxnSpPr>
      <xdr:spPr>
        <a:xfrm>
          <a:off x="0" y="249174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</xdr:row>
      <xdr:rowOff>20594</xdr:rowOff>
    </xdr:from>
    <xdr:to>
      <xdr:col>0</xdr:col>
      <xdr:colOff>91343</xdr:colOff>
      <xdr:row>30</xdr:row>
      <xdr:rowOff>29558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F389ECDF-9893-4DCD-928F-1B8DD81609F5}"/>
            </a:ext>
          </a:extLst>
        </xdr:cNvPr>
        <xdr:cNvCxnSpPr/>
      </xdr:nvCxnSpPr>
      <xdr:spPr>
        <a:xfrm>
          <a:off x="0" y="5628914"/>
          <a:ext cx="91343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</xdr:row>
      <xdr:rowOff>170330</xdr:rowOff>
    </xdr:from>
    <xdr:to>
      <xdr:col>0</xdr:col>
      <xdr:colOff>17930</xdr:colOff>
      <xdr:row>34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BF145615-7584-469F-8D0F-ED3A52FFA74D}"/>
            </a:ext>
          </a:extLst>
        </xdr:cNvPr>
        <xdr:cNvCxnSpPr/>
      </xdr:nvCxnSpPr>
      <xdr:spPr>
        <a:xfrm>
          <a:off x="0" y="6327290"/>
          <a:ext cx="17930" cy="12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1</xdr:rowOff>
    </xdr:from>
    <xdr:to>
      <xdr:col>0</xdr:col>
      <xdr:colOff>11205</xdr:colOff>
      <xdr:row>32</xdr:row>
      <xdr:rowOff>1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92BDC66B-C991-43A2-9EF8-28AAFA7606F4}"/>
            </a:ext>
          </a:extLst>
        </xdr:cNvPr>
        <xdr:cNvCxnSpPr/>
      </xdr:nvCxnSpPr>
      <xdr:spPr>
        <a:xfrm>
          <a:off x="0" y="5974081"/>
          <a:ext cx="1120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1CB69AE1-2E23-4AF8-8C5F-1F13568DDB3B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80683</xdr:colOff>
      <xdr:row>13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4BFCB677-655A-4B57-A348-505CCEF8F1F8}"/>
            </a:ext>
          </a:extLst>
        </xdr:cNvPr>
        <xdr:cNvCxnSpPr/>
      </xdr:nvCxnSpPr>
      <xdr:spPr>
        <a:xfrm>
          <a:off x="0" y="2491740"/>
          <a:ext cx="80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29</xdr:row>
      <xdr:rowOff>0</xdr:rowOff>
    </xdr:from>
    <xdr:to>
      <xdr:col>0</xdr:col>
      <xdr:colOff>8965</xdr:colOff>
      <xdr:row>29</xdr:row>
      <xdr:rowOff>8964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B3421FE0-AFE2-4019-9407-FC461701BD93}"/>
            </a:ext>
          </a:extLst>
        </xdr:cNvPr>
        <xdr:cNvCxnSpPr/>
      </xdr:nvCxnSpPr>
      <xdr:spPr>
        <a:xfrm>
          <a:off x="0" y="5417820"/>
          <a:ext cx="8965" cy="89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</xdr:row>
      <xdr:rowOff>170330</xdr:rowOff>
    </xdr:from>
    <xdr:to>
      <xdr:col>0</xdr:col>
      <xdr:colOff>17930</xdr:colOff>
      <xdr:row>34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40458EC4-1B97-4E8A-9CC2-CAF9A77109E7}"/>
            </a:ext>
          </a:extLst>
        </xdr:cNvPr>
        <xdr:cNvCxnSpPr/>
      </xdr:nvCxnSpPr>
      <xdr:spPr>
        <a:xfrm>
          <a:off x="0" y="6327290"/>
          <a:ext cx="17930" cy="12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DE73F292-56A3-43D1-BF2A-DF1391D9311E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11151</xdr:colOff>
      <xdr:row>18</xdr:row>
      <xdr:rowOff>7434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6996628E-F263-4794-BFBE-3AF74EA47775}"/>
            </a:ext>
          </a:extLst>
        </xdr:cNvPr>
        <xdr:cNvCxnSpPr/>
      </xdr:nvCxnSpPr>
      <xdr:spPr>
        <a:xfrm>
          <a:off x="0" y="3406140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938</xdr:rowOff>
    </xdr:from>
    <xdr:to>
      <xdr:col>0</xdr:col>
      <xdr:colOff>17721</xdr:colOff>
      <xdr:row>7</xdr:row>
      <xdr:rowOff>938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04A65A8-43CB-4826-A19C-9EBABD29D262}"/>
            </a:ext>
          </a:extLst>
        </xdr:cNvPr>
        <xdr:cNvCxnSpPr/>
      </xdr:nvCxnSpPr>
      <xdr:spPr>
        <a:xfrm>
          <a:off x="0" y="1395398"/>
          <a:ext cx="1772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9CCCAC1E-C9B6-44B1-AEEC-1C23E958F55B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6C998975-2CCD-4DB4-8557-CC63E4F80CBA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E2B0FD39-6AE9-4E3E-AD46-8E7E6EA74AF6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A215E4A3-C44B-410E-8C7A-FB8BBD274B86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7AF875BC-1058-44ED-B703-76E7D4F9C08A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4BADAC6B-B39D-4C60-83AE-6AE4F9F3EE31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3ECBCBDC-036A-41A9-B896-D26B2B66EFE6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F135DCAF-B274-4720-AFCE-61248295BA54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13855</xdr:rowOff>
    </xdr:from>
    <xdr:to>
      <xdr:col>0</xdr:col>
      <xdr:colOff>27709</xdr:colOff>
      <xdr:row>0</xdr:row>
      <xdr:rowOff>13855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ECC100EE-2C61-4820-983D-F493CA7EF85B}"/>
            </a:ext>
          </a:extLst>
        </xdr:cNvPr>
        <xdr:cNvCxnSpPr/>
      </xdr:nvCxnSpPr>
      <xdr:spPr>
        <a:xfrm>
          <a:off x="0" y="13855"/>
          <a:ext cx="277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11151</xdr:colOff>
      <xdr:row>18</xdr:row>
      <xdr:rowOff>7434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98ADCC51-D96B-4FDF-97BF-919047795E45}"/>
            </a:ext>
          </a:extLst>
        </xdr:cNvPr>
        <xdr:cNvCxnSpPr/>
      </xdr:nvCxnSpPr>
      <xdr:spPr>
        <a:xfrm>
          <a:off x="0" y="3406140"/>
          <a:ext cx="11151" cy="743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E23F-9358-4CC8-AFB4-F48F21F83438}">
  <sheetPr>
    <pageSetUpPr fitToPage="1"/>
  </sheetPr>
  <dimension ref="A1:G46"/>
  <sheetViews>
    <sheetView view="pageLayout" topLeftCell="A16" zoomScale="89" zoomScaleNormal="100" zoomScalePageLayoutView="89" workbookViewId="0">
      <selection activeCell="A45" sqref="A45"/>
    </sheetView>
  </sheetViews>
  <sheetFormatPr defaultRowHeight="14.4" x14ac:dyDescent="0.3"/>
  <cols>
    <col min="1" max="1" width="5.33203125" customWidth="1"/>
    <col min="2" max="2" width="32.109375" customWidth="1"/>
    <col min="3" max="3" width="6" customWidth="1"/>
    <col min="4" max="4" width="7.33203125" customWidth="1"/>
    <col min="5" max="5" width="9.5546875" customWidth="1"/>
    <col min="6" max="6" width="10.33203125" customWidth="1"/>
    <col min="7" max="7" width="25.88671875" customWidth="1"/>
  </cols>
  <sheetData>
    <row r="1" spans="1:7" ht="23.4" x14ac:dyDescent="0.45">
      <c r="A1" s="61" t="s">
        <v>0</v>
      </c>
      <c r="B1" s="62"/>
      <c r="C1" s="62"/>
      <c r="D1" s="62"/>
      <c r="E1" s="62"/>
      <c r="F1" s="63"/>
      <c r="G1" s="64"/>
    </row>
    <row r="2" spans="1:7" x14ac:dyDescent="0.3">
      <c r="A2" s="65" t="s">
        <v>30</v>
      </c>
      <c r="B2" s="66"/>
      <c r="C2" s="66"/>
      <c r="D2" s="66"/>
      <c r="E2" s="67"/>
      <c r="F2" s="3"/>
      <c r="G2" s="4"/>
    </row>
    <row r="3" spans="1:7" x14ac:dyDescent="0.3">
      <c r="A3" s="65" t="s">
        <v>1</v>
      </c>
      <c r="B3" s="66"/>
      <c r="C3" s="66"/>
      <c r="D3" s="66"/>
      <c r="E3" s="66"/>
      <c r="F3" s="68" t="s">
        <v>55</v>
      </c>
      <c r="G3" s="69"/>
    </row>
    <row r="4" spans="1:7" x14ac:dyDescent="0.3">
      <c r="A4" s="68" t="s">
        <v>2</v>
      </c>
      <c r="B4" s="70"/>
      <c r="C4" s="70"/>
      <c r="D4" s="70"/>
      <c r="E4" s="70"/>
      <c r="F4" s="5" t="s">
        <v>58</v>
      </c>
      <c r="G4" s="6"/>
    </row>
    <row r="5" spans="1:7" x14ac:dyDescent="0.3">
      <c r="A5" s="68" t="s">
        <v>3</v>
      </c>
      <c r="B5" s="70"/>
      <c r="C5" s="70"/>
      <c r="D5" s="70"/>
      <c r="E5" s="70"/>
      <c r="F5" s="7"/>
      <c r="G5" s="45"/>
    </row>
    <row r="6" spans="1:7" x14ac:dyDescent="0.3">
      <c r="A6" s="7" t="s">
        <v>4</v>
      </c>
      <c r="B6" s="8"/>
      <c r="C6" s="8"/>
      <c r="D6" s="8"/>
      <c r="E6" s="8"/>
      <c r="F6" s="5"/>
      <c r="G6" s="6"/>
    </row>
    <row r="7" spans="1:7" x14ac:dyDescent="0.3">
      <c r="A7" s="71" t="s">
        <v>5</v>
      </c>
      <c r="B7" s="72"/>
      <c r="C7" s="72"/>
      <c r="D7" s="72"/>
      <c r="E7" s="72"/>
      <c r="F7" s="71" t="s">
        <v>54</v>
      </c>
      <c r="G7" s="73"/>
    </row>
    <row r="8" spans="1:7" x14ac:dyDescent="0.3">
      <c r="A8" s="74" t="s">
        <v>6</v>
      </c>
      <c r="B8" s="75"/>
      <c r="C8" s="75"/>
      <c r="D8" s="75"/>
      <c r="E8" s="75"/>
      <c r="F8" s="9" t="s">
        <v>7</v>
      </c>
      <c r="G8" s="10"/>
    </row>
    <row r="9" spans="1:7" x14ac:dyDescent="0.3">
      <c r="A9" s="11" t="s">
        <v>31</v>
      </c>
      <c r="B9" s="12"/>
      <c r="C9" s="12"/>
      <c r="D9" s="12"/>
      <c r="E9" s="12"/>
      <c r="F9" s="76" t="s">
        <v>37</v>
      </c>
      <c r="G9" s="77"/>
    </row>
    <row r="10" spans="1:7" x14ac:dyDescent="0.3">
      <c r="A10" s="13" t="s">
        <v>33</v>
      </c>
      <c r="B10" s="14"/>
      <c r="C10" s="14"/>
      <c r="D10" s="14"/>
      <c r="E10" s="14"/>
      <c r="F10" s="3" t="s">
        <v>8</v>
      </c>
      <c r="G10" s="4"/>
    </row>
    <row r="11" spans="1:7" ht="15" customHeight="1" x14ac:dyDescent="0.3">
      <c r="A11" s="57" t="s">
        <v>34</v>
      </c>
      <c r="B11" s="58"/>
      <c r="C11" s="58"/>
      <c r="D11" s="58"/>
      <c r="E11" s="58"/>
      <c r="F11" s="59" t="s">
        <v>38</v>
      </c>
      <c r="G11" s="60"/>
    </row>
    <row r="12" spans="1:7" ht="14.4" customHeight="1" x14ac:dyDescent="0.3">
      <c r="A12" s="78" t="s">
        <v>29</v>
      </c>
      <c r="B12" s="79"/>
      <c r="C12" s="79"/>
      <c r="D12" s="79"/>
      <c r="E12" s="79"/>
      <c r="F12" s="79"/>
      <c r="G12" s="80"/>
    </row>
    <row r="13" spans="1:7" x14ac:dyDescent="0.3">
      <c r="A13" s="81"/>
      <c r="B13" s="82"/>
      <c r="C13" s="82"/>
      <c r="D13" s="82"/>
      <c r="E13" s="82"/>
      <c r="F13" s="82"/>
      <c r="G13" s="83"/>
    </row>
    <row r="14" spans="1:7" ht="14.4" customHeight="1" x14ac:dyDescent="0.3">
      <c r="A14" s="84" t="s">
        <v>9</v>
      </c>
      <c r="B14" s="84" t="s">
        <v>10</v>
      </c>
      <c r="C14" s="86" t="s">
        <v>36</v>
      </c>
      <c r="D14" s="87" t="s">
        <v>11</v>
      </c>
      <c r="E14" s="86" t="s">
        <v>39</v>
      </c>
      <c r="F14" s="87" t="s">
        <v>12</v>
      </c>
      <c r="G14" s="87" t="s">
        <v>13</v>
      </c>
    </row>
    <row r="15" spans="1:7" x14ac:dyDescent="0.3">
      <c r="A15" s="85"/>
      <c r="B15" s="85"/>
      <c r="C15" s="85"/>
      <c r="D15" s="88"/>
      <c r="E15" s="89"/>
      <c r="F15" s="88"/>
      <c r="G15" s="88"/>
    </row>
    <row r="16" spans="1:7" x14ac:dyDescent="0.3">
      <c r="A16" s="15">
        <v>1</v>
      </c>
      <c r="B16" s="15" t="s">
        <v>40</v>
      </c>
      <c r="C16" s="98">
        <v>9985</v>
      </c>
      <c r="D16" s="100">
        <v>25630</v>
      </c>
      <c r="E16" s="16">
        <v>317.5</v>
      </c>
      <c r="F16" s="17">
        <v>12</v>
      </c>
      <c r="G16" s="18">
        <f>E16*(D16/31)</f>
        <v>262500.80645161291</v>
      </c>
    </row>
    <row r="17" spans="1:7" ht="15.6" x14ac:dyDescent="0.3">
      <c r="A17" s="19">
        <v>2</v>
      </c>
      <c r="B17" s="19" t="s">
        <v>41</v>
      </c>
      <c r="C17" s="99"/>
      <c r="D17" s="101"/>
      <c r="E17" s="20">
        <v>5</v>
      </c>
      <c r="F17" s="21"/>
      <c r="G17" s="48">
        <v>344.49</v>
      </c>
    </row>
    <row r="18" spans="1:7" x14ac:dyDescent="0.3">
      <c r="A18" s="22"/>
      <c r="B18" s="23"/>
      <c r="C18" s="24"/>
      <c r="D18" s="25"/>
      <c r="E18" s="26"/>
      <c r="F18" s="6"/>
      <c r="G18" s="34"/>
    </row>
    <row r="19" spans="1:7" x14ac:dyDescent="0.3">
      <c r="A19" s="22"/>
      <c r="B19" s="23"/>
      <c r="C19" s="24"/>
      <c r="D19" s="25"/>
      <c r="E19" s="26"/>
      <c r="G19" s="27"/>
    </row>
    <row r="20" spans="1:7" x14ac:dyDescent="0.3">
      <c r="A20" s="22"/>
      <c r="B20" s="23"/>
      <c r="C20" s="24"/>
      <c r="D20" s="25"/>
      <c r="E20" s="26"/>
      <c r="G20" s="27"/>
    </row>
    <row r="21" spans="1:7" x14ac:dyDescent="0.3">
      <c r="A21" s="22"/>
      <c r="B21" s="23"/>
      <c r="C21" s="24"/>
      <c r="D21" s="25"/>
      <c r="E21" s="26"/>
      <c r="G21" s="27"/>
    </row>
    <row r="22" spans="1:7" x14ac:dyDescent="0.3">
      <c r="A22" s="22"/>
      <c r="B22" s="23"/>
      <c r="C22" s="24"/>
      <c r="D22" s="25"/>
      <c r="E22" s="26"/>
      <c r="G22" s="27"/>
    </row>
    <row r="23" spans="1:7" x14ac:dyDescent="0.3">
      <c r="A23" s="22"/>
      <c r="B23" s="23"/>
      <c r="C23" s="24"/>
      <c r="D23" s="25"/>
      <c r="E23" s="26"/>
      <c r="G23" s="27"/>
    </row>
    <row r="24" spans="1:7" x14ac:dyDescent="0.3">
      <c r="A24" s="22"/>
      <c r="B24" s="23"/>
      <c r="C24" s="24"/>
      <c r="D24" s="25"/>
      <c r="E24" s="26"/>
      <c r="G24" s="27"/>
    </row>
    <row r="25" spans="1:7" x14ac:dyDescent="0.3">
      <c r="A25" s="24"/>
      <c r="B25" s="23"/>
      <c r="C25" s="24"/>
      <c r="D25" s="28"/>
      <c r="E25" s="26"/>
      <c r="G25" s="27"/>
    </row>
    <row r="26" spans="1:7" x14ac:dyDescent="0.3">
      <c r="A26" s="28"/>
      <c r="B26" s="6"/>
      <c r="C26" s="28"/>
      <c r="D26" s="28"/>
      <c r="E26" s="5"/>
      <c r="F26" s="6"/>
      <c r="G26" s="6"/>
    </row>
    <row r="27" spans="1:7" x14ac:dyDescent="0.3">
      <c r="A27" s="28"/>
      <c r="B27" s="28"/>
      <c r="C27" s="28"/>
      <c r="D27" s="102" t="s">
        <v>16</v>
      </c>
      <c r="E27" s="63"/>
      <c r="F27" s="64"/>
      <c r="G27" s="18">
        <f>SUM(G16:G17)</f>
        <v>262845.2964516129</v>
      </c>
    </row>
    <row r="28" spans="1:7" x14ac:dyDescent="0.3">
      <c r="A28" s="21"/>
      <c r="B28" s="21"/>
      <c r="C28" s="21"/>
      <c r="D28" s="70" t="s">
        <v>17</v>
      </c>
      <c r="E28" s="70"/>
      <c r="F28" s="70"/>
      <c r="G28" s="18">
        <f>G27*5%</f>
        <v>13142.264822580646</v>
      </c>
    </row>
    <row r="29" spans="1:7" x14ac:dyDescent="0.3">
      <c r="A29" s="90" t="s">
        <v>18</v>
      </c>
      <c r="B29" s="96"/>
      <c r="C29" s="97"/>
      <c r="D29" s="103"/>
      <c r="E29" s="96"/>
      <c r="F29" s="97"/>
      <c r="G29" s="29"/>
    </row>
    <row r="30" spans="1:7" ht="14.7" customHeight="1" x14ac:dyDescent="0.3">
      <c r="A30" s="104" t="s">
        <v>19</v>
      </c>
      <c r="B30" s="105"/>
      <c r="C30" s="105"/>
      <c r="D30" s="93" t="s">
        <v>20</v>
      </c>
      <c r="E30" s="94"/>
      <c r="F30" s="95"/>
      <c r="G30" s="30">
        <f>G27+G28</f>
        <v>275987.56127419352</v>
      </c>
    </row>
    <row r="31" spans="1:7" x14ac:dyDescent="0.3">
      <c r="A31" s="104" t="s">
        <v>21</v>
      </c>
      <c r="B31" s="105"/>
      <c r="C31" s="106"/>
      <c r="D31" s="31" t="s">
        <v>22</v>
      </c>
      <c r="E31" s="1"/>
      <c r="F31" s="2"/>
      <c r="G31" s="32">
        <f>G30*9%</f>
        <v>24838.880514677418</v>
      </c>
    </row>
    <row r="32" spans="1:7" ht="14.7" customHeight="1" x14ac:dyDescent="0.3">
      <c r="A32" s="104" t="s">
        <v>23</v>
      </c>
      <c r="B32" s="105"/>
      <c r="C32" s="106"/>
      <c r="D32" s="107" t="s">
        <v>24</v>
      </c>
      <c r="E32" s="63"/>
      <c r="F32" s="64"/>
      <c r="G32" s="33">
        <f>G30*9%</f>
        <v>24838.880514677418</v>
      </c>
    </row>
    <row r="33" spans="1:7" x14ac:dyDescent="0.3">
      <c r="A33" s="90" t="s">
        <v>25</v>
      </c>
      <c r="B33" s="91"/>
      <c r="C33" s="92"/>
      <c r="D33" s="90"/>
      <c r="E33" s="96"/>
      <c r="F33" s="97"/>
      <c r="G33" s="34"/>
    </row>
    <row r="34" spans="1:7" x14ac:dyDescent="0.3">
      <c r="A34" s="93"/>
      <c r="B34" s="94"/>
      <c r="C34" s="95"/>
      <c r="F34" s="6"/>
      <c r="G34" s="6"/>
    </row>
    <row r="35" spans="1:7" x14ac:dyDescent="0.3">
      <c r="A35" s="104" t="s">
        <v>59</v>
      </c>
      <c r="B35" s="105"/>
      <c r="C35" s="106"/>
      <c r="D35" s="94"/>
      <c r="E35" s="70"/>
      <c r="F35" s="69"/>
      <c r="G35" s="35"/>
    </row>
    <row r="36" spans="1:7" x14ac:dyDescent="0.3">
      <c r="A36" s="57" t="s">
        <v>60</v>
      </c>
      <c r="B36" s="58"/>
      <c r="C36" s="108"/>
      <c r="D36" s="93" t="s">
        <v>26</v>
      </c>
      <c r="E36" s="70"/>
      <c r="F36" s="69"/>
      <c r="G36" s="36">
        <f>SUM(G30+G31+G32)</f>
        <v>325665.3223035484</v>
      </c>
    </row>
    <row r="37" spans="1:7" x14ac:dyDescent="0.3">
      <c r="A37" s="78" t="s">
        <v>27</v>
      </c>
      <c r="B37" s="109"/>
      <c r="C37" s="110"/>
      <c r="D37" s="117" t="s">
        <v>42</v>
      </c>
      <c r="E37" s="118"/>
      <c r="F37" s="118"/>
      <c r="G37" s="119"/>
    </row>
    <row r="38" spans="1:7" x14ac:dyDescent="0.3">
      <c r="A38" s="111"/>
      <c r="B38" s="112"/>
      <c r="C38" s="113"/>
      <c r="D38" s="120"/>
      <c r="E38" s="121"/>
      <c r="F38" s="121"/>
      <c r="G38" s="122"/>
    </row>
    <row r="39" spans="1:7" x14ac:dyDescent="0.3">
      <c r="A39" s="111"/>
      <c r="B39" s="112"/>
      <c r="C39" s="113"/>
      <c r="D39" s="120"/>
      <c r="E39" s="121"/>
      <c r="F39" s="121"/>
      <c r="G39" s="122"/>
    </row>
    <row r="40" spans="1:7" x14ac:dyDescent="0.3">
      <c r="A40" s="111"/>
      <c r="B40" s="112"/>
      <c r="C40" s="113"/>
      <c r="D40" s="120"/>
      <c r="E40" s="121"/>
      <c r="F40" s="121"/>
      <c r="G40" s="122"/>
    </row>
    <row r="41" spans="1:7" ht="14.4" customHeight="1" x14ac:dyDescent="0.3">
      <c r="A41" s="111"/>
      <c r="B41" s="112"/>
      <c r="C41" s="113"/>
      <c r="D41" s="120"/>
      <c r="E41" s="121"/>
      <c r="F41" s="121"/>
      <c r="G41" s="122"/>
    </row>
    <row r="42" spans="1:7" ht="14.4" customHeight="1" x14ac:dyDescent="0.3">
      <c r="A42" s="114"/>
      <c r="B42" s="115"/>
      <c r="C42" s="116"/>
      <c r="D42" s="123"/>
      <c r="E42" s="124"/>
      <c r="F42" s="124"/>
      <c r="G42" s="125"/>
    </row>
    <row r="44" spans="1:7" ht="14.4" customHeight="1" x14ac:dyDescent="0.3"/>
    <row r="45" spans="1:7" ht="14.4" customHeight="1" x14ac:dyDescent="0.3"/>
    <row r="46" spans="1:7" ht="14.4" customHeight="1" x14ac:dyDescent="0.3"/>
  </sheetData>
  <mergeCells count="40">
    <mergeCell ref="A35:C35"/>
    <mergeCell ref="D35:F35"/>
    <mergeCell ref="A36:C36"/>
    <mergeCell ref="D36:F36"/>
    <mergeCell ref="A37:C42"/>
    <mergeCell ref="D37:G42"/>
    <mergeCell ref="A33:C34"/>
    <mergeCell ref="D33:F33"/>
    <mergeCell ref="C16:C17"/>
    <mergeCell ref="D16:D17"/>
    <mergeCell ref="D27:F27"/>
    <mergeCell ref="D28:F28"/>
    <mergeCell ref="A29:C29"/>
    <mergeCell ref="D29:F29"/>
    <mergeCell ref="A30:C30"/>
    <mergeCell ref="D30:F30"/>
    <mergeCell ref="A31:C31"/>
    <mergeCell ref="A32:C32"/>
    <mergeCell ref="D32:F32"/>
    <mergeCell ref="A12:G13"/>
    <mergeCell ref="A14:A15"/>
    <mergeCell ref="B14:B15"/>
    <mergeCell ref="C14:C15"/>
    <mergeCell ref="D14:D15"/>
    <mergeCell ref="E14:E15"/>
    <mergeCell ref="F14:F15"/>
    <mergeCell ref="G14:G15"/>
    <mergeCell ref="A11:E11"/>
    <mergeCell ref="F11:G11"/>
    <mergeCell ref="A1:E1"/>
    <mergeCell ref="F1:G1"/>
    <mergeCell ref="A2:E2"/>
    <mergeCell ref="A3:E3"/>
    <mergeCell ref="F3:G3"/>
    <mergeCell ref="A4:E4"/>
    <mergeCell ref="A5:E5"/>
    <mergeCell ref="A7:E7"/>
    <mergeCell ref="F7:G7"/>
    <mergeCell ref="A8:E8"/>
    <mergeCell ref="F9:G9"/>
  </mergeCells>
  <pageMargins left="0.7" right="0.7" top="0.75" bottom="0.75" header="0.3" footer="0.3"/>
  <pageSetup paperSize="9" scale="90" fitToHeight="0" orientation="portrait" horizontalDpi="4294967293" r:id="rId1"/>
  <headerFooter>
    <oddHeader xml:space="preserve">&amp;CPROFORMA  INVOICE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105B5-F6EF-4AF2-913E-E9C9F079F31C}">
  <sheetPr>
    <pageSetUpPr fitToPage="1"/>
  </sheetPr>
  <dimension ref="A1:H46"/>
  <sheetViews>
    <sheetView view="pageLayout" zoomScale="89" zoomScaleNormal="100" zoomScalePageLayoutView="89" workbookViewId="0">
      <selection activeCell="G18" sqref="G18"/>
    </sheetView>
  </sheetViews>
  <sheetFormatPr defaultRowHeight="14.4" x14ac:dyDescent="0.3"/>
  <cols>
    <col min="1" max="1" width="5.33203125" customWidth="1"/>
    <col min="2" max="2" width="32.109375" customWidth="1"/>
    <col min="3" max="3" width="6" customWidth="1"/>
    <col min="4" max="4" width="7.33203125" customWidth="1"/>
    <col min="5" max="5" width="9.5546875" customWidth="1"/>
    <col min="6" max="6" width="10.33203125" customWidth="1"/>
    <col min="7" max="7" width="25.88671875" customWidth="1"/>
  </cols>
  <sheetData>
    <row r="1" spans="1:7" ht="23.4" x14ac:dyDescent="0.45">
      <c r="A1" s="61" t="s">
        <v>0</v>
      </c>
      <c r="B1" s="62"/>
      <c r="C1" s="62"/>
      <c r="D1" s="62"/>
      <c r="E1" s="62"/>
      <c r="F1" s="63"/>
      <c r="G1" s="64"/>
    </row>
    <row r="2" spans="1:7" x14ac:dyDescent="0.3">
      <c r="A2" s="65" t="s">
        <v>30</v>
      </c>
      <c r="B2" s="66"/>
      <c r="C2" s="66"/>
      <c r="D2" s="66"/>
      <c r="E2" s="67"/>
      <c r="F2" s="3"/>
      <c r="G2" s="4"/>
    </row>
    <row r="3" spans="1:7" x14ac:dyDescent="0.3">
      <c r="A3" s="65" t="s">
        <v>1</v>
      </c>
      <c r="B3" s="66"/>
      <c r="C3" s="66"/>
      <c r="D3" s="66"/>
      <c r="E3" s="66"/>
      <c r="F3" s="68" t="s">
        <v>55</v>
      </c>
      <c r="G3" s="69"/>
    </row>
    <row r="4" spans="1:7" x14ac:dyDescent="0.3">
      <c r="A4" s="68" t="s">
        <v>2</v>
      </c>
      <c r="B4" s="70"/>
      <c r="C4" s="70"/>
      <c r="D4" s="70"/>
      <c r="E4" s="70"/>
      <c r="F4" s="5" t="s">
        <v>56</v>
      </c>
      <c r="G4" s="6"/>
    </row>
    <row r="5" spans="1:7" x14ac:dyDescent="0.3">
      <c r="A5" s="68" t="s">
        <v>3</v>
      </c>
      <c r="B5" s="70"/>
      <c r="C5" s="70"/>
      <c r="D5" s="70"/>
      <c r="E5" s="70"/>
      <c r="F5" s="7"/>
      <c r="G5" s="45"/>
    </row>
    <row r="6" spans="1:7" x14ac:dyDescent="0.3">
      <c r="A6" s="7" t="s">
        <v>4</v>
      </c>
      <c r="B6" s="8"/>
      <c r="C6" s="8"/>
      <c r="D6" s="8"/>
      <c r="E6" s="8"/>
      <c r="F6" s="5"/>
      <c r="G6" s="6"/>
    </row>
    <row r="7" spans="1:7" x14ac:dyDescent="0.3">
      <c r="A7" s="71" t="s">
        <v>5</v>
      </c>
      <c r="B7" s="72"/>
      <c r="C7" s="72"/>
      <c r="D7" s="72"/>
      <c r="E7" s="72"/>
      <c r="F7" s="71" t="s">
        <v>54</v>
      </c>
      <c r="G7" s="73"/>
    </row>
    <row r="8" spans="1:7" x14ac:dyDescent="0.3">
      <c r="A8" s="74" t="s">
        <v>6</v>
      </c>
      <c r="B8" s="75"/>
      <c r="C8" s="75"/>
      <c r="D8" s="75"/>
      <c r="E8" s="75"/>
      <c r="F8" s="9" t="s">
        <v>7</v>
      </c>
      <c r="G8" s="10"/>
    </row>
    <row r="9" spans="1:7" x14ac:dyDescent="0.3">
      <c r="A9" s="11" t="s">
        <v>31</v>
      </c>
      <c r="B9" s="12"/>
      <c r="C9" s="12"/>
      <c r="D9" s="12"/>
      <c r="E9" s="12"/>
      <c r="F9" s="76" t="s">
        <v>37</v>
      </c>
      <c r="G9" s="77"/>
    </row>
    <row r="10" spans="1:7" x14ac:dyDescent="0.3">
      <c r="A10" s="13" t="s">
        <v>33</v>
      </c>
      <c r="B10" s="14"/>
      <c r="C10" s="14"/>
      <c r="D10" s="14"/>
      <c r="E10" s="14"/>
      <c r="F10" s="3" t="s">
        <v>8</v>
      </c>
      <c r="G10" s="4"/>
    </row>
    <row r="11" spans="1:7" ht="15" customHeight="1" x14ac:dyDescent="0.3">
      <c r="A11" s="57" t="s">
        <v>34</v>
      </c>
      <c r="B11" s="58"/>
      <c r="C11" s="58"/>
      <c r="D11" s="58"/>
      <c r="E11" s="58"/>
      <c r="F11" s="59" t="s">
        <v>38</v>
      </c>
      <c r="G11" s="60"/>
    </row>
    <row r="12" spans="1:7" ht="14.4" customHeight="1" x14ac:dyDescent="0.3">
      <c r="A12" s="78" t="s">
        <v>29</v>
      </c>
      <c r="B12" s="79"/>
      <c r="C12" s="79"/>
      <c r="D12" s="79"/>
      <c r="E12" s="79"/>
      <c r="F12" s="79"/>
      <c r="G12" s="80"/>
    </row>
    <row r="13" spans="1:7" x14ac:dyDescent="0.3">
      <c r="A13" s="81"/>
      <c r="B13" s="82"/>
      <c r="C13" s="82"/>
      <c r="D13" s="82"/>
      <c r="E13" s="82"/>
      <c r="F13" s="82"/>
      <c r="G13" s="83"/>
    </row>
    <row r="14" spans="1:7" ht="14.4" customHeight="1" x14ac:dyDescent="0.3">
      <c r="A14" s="84" t="s">
        <v>9</v>
      </c>
      <c r="B14" s="84" t="s">
        <v>10</v>
      </c>
      <c r="C14" s="86" t="s">
        <v>36</v>
      </c>
      <c r="D14" s="87" t="s">
        <v>11</v>
      </c>
      <c r="E14" s="86" t="s">
        <v>39</v>
      </c>
      <c r="F14" s="87" t="s">
        <v>12</v>
      </c>
      <c r="G14" s="87" t="s">
        <v>13</v>
      </c>
    </row>
    <row r="15" spans="1:7" x14ac:dyDescent="0.3">
      <c r="A15" s="85"/>
      <c r="B15" s="85"/>
      <c r="C15" s="85"/>
      <c r="D15" s="88"/>
      <c r="E15" s="89"/>
      <c r="F15" s="88"/>
      <c r="G15" s="88"/>
    </row>
    <row r="16" spans="1:7" x14ac:dyDescent="0.3">
      <c r="A16" s="15">
        <v>1</v>
      </c>
      <c r="B16" s="15" t="s">
        <v>40</v>
      </c>
      <c r="C16" s="98">
        <v>9985</v>
      </c>
      <c r="D16" s="100">
        <v>25630</v>
      </c>
      <c r="E16" s="16">
        <v>317.5</v>
      </c>
      <c r="F16" s="17">
        <v>12</v>
      </c>
      <c r="G16" s="18">
        <f>E16*(D16/31)</f>
        <v>262500.80645161291</v>
      </c>
    </row>
    <row r="17" spans="1:8" x14ac:dyDescent="0.3">
      <c r="A17" s="19">
        <v>2</v>
      </c>
      <c r="B17" s="19" t="s">
        <v>41</v>
      </c>
      <c r="C17" s="99"/>
      <c r="D17" s="101"/>
      <c r="E17" s="20">
        <v>8</v>
      </c>
      <c r="F17" s="21"/>
      <c r="G17" s="18">
        <f>E17*(D16/31/9)</f>
        <v>734.91039426523298</v>
      </c>
      <c r="H17" s="47"/>
    </row>
    <row r="18" spans="1:8" x14ac:dyDescent="0.3">
      <c r="A18" s="22"/>
      <c r="B18" s="23"/>
      <c r="C18" s="24"/>
      <c r="D18" s="25"/>
      <c r="E18" s="26"/>
      <c r="F18" s="6"/>
      <c r="G18" s="34"/>
    </row>
    <row r="19" spans="1:8" x14ac:dyDescent="0.3">
      <c r="A19" s="22"/>
      <c r="B19" s="23"/>
      <c r="C19" s="24"/>
      <c r="D19" s="25"/>
      <c r="E19" s="26"/>
      <c r="G19" s="27"/>
    </row>
    <row r="20" spans="1:8" x14ac:dyDescent="0.3">
      <c r="A20" s="22"/>
      <c r="B20" s="23"/>
      <c r="C20" s="24"/>
      <c r="D20" s="25"/>
      <c r="E20" s="26"/>
      <c r="G20" s="27"/>
    </row>
    <row r="21" spans="1:8" x14ac:dyDescent="0.3">
      <c r="A21" s="22"/>
      <c r="B21" s="23"/>
      <c r="C21" s="24"/>
      <c r="D21" s="25"/>
      <c r="E21" s="26"/>
      <c r="G21" s="27"/>
    </row>
    <row r="22" spans="1:8" x14ac:dyDescent="0.3">
      <c r="A22" s="22"/>
      <c r="B22" s="23"/>
      <c r="C22" s="24"/>
      <c r="D22" s="25"/>
      <c r="E22" s="26"/>
      <c r="G22" s="27"/>
    </row>
    <row r="23" spans="1:8" x14ac:dyDescent="0.3">
      <c r="A23" s="22"/>
      <c r="B23" s="23"/>
      <c r="C23" s="24"/>
      <c r="D23" s="25"/>
      <c r="E23" s="26"/>
      <c r="G23" s="27"/>
    </row>
    <row r="24" spans="1:8" x14ac:dyDescent="0.3">
      <c r="A24" s="22"/>
      <c r="B24" s="23"/>
      <c r="C24" s="24"/>
      <c r="D24" s="25"/>
      <c r="E24" s="26"/>
      <c r="G24" s="27"/>
    </row>
    <row r="25" spans="1:8" x14ac:dyDescent="0.3">
      <c r="A25" s="24"/>
      <c r="B25" s="23"/>
      <c r="C25" s="24"/>
      <c r="D25" s="28"/>
      <c r="E25" s="26"/>
      <c r="G25" s="27"/>
    </row>
    <row r="26" spans="1:8" x14ac:dyDescent="0.3">
      <c r="A26" s="28"/>
      <c r="B26" s="6"/>
      <c r="C26" s="28"/>
      <c r="D26" s="28"/>
      <c r="E26" s="5"/>
      <c r="F26" s="6"/>
      <c r="G26" s="6"/>
    </row>
    <row r="27" spans="1:8" x14ac:dyDescent="0.3">
      <c r="A27" s="28"/>
      <c r="B27" s="28"/>
      <c r="C27" s="28"/>
      <c r="D27" s="102" t="s">
        <v>16</v>
      </c>
      <c r="E27" s="63"/>
      <c r="F27" s="64"/>
      <c r="G27" s="18">
        <f>SUM(G16:G17)</f>
        <v>263235.71684587817</v>
      </c>
    </row>
    <row r="28" spans="1:8" x14ac:dyDescent="0.3">
      <c r="A28" s="21"/>
      <c r="B28" s="21"/>
      <c r="C28" s="21"/>
      <c r="D28" s="70" t="s">
        <v>17</v>
      </c>
      <c r="E28" s="70"/>
      <c r="F28" s="70"/>
      <c r="G28" s="18">
        <f>G27*5%</f>
        <v>13161.78584229391</v>
      </c>
    </row>
    <row r="29" spans="1:8" x14ac:dyDescent="0.3">
      <c r="A29" s="90" t="s">
        <v>18</v>
      </c>
      <c r="B29" s="96"/>
      <c r="C29" s="97"/>
      <c r="D29" s="103"/>
      <c r="E29" s="96"/>
      <c r="F29" s="97"/>
      <c r="G29" s="29"/>
    </row>
    <row r="30" spans="1:8" ht="14.7" customHeight="1" x14ac:dyDescent="0.3">
      <c r="A30" s="104" t="s">
        <v>19</v>
      </c>
      <c r="B30" s="105"/>
      <c r="C30" s="105"/>
      <c r="D30" s="93" t="s">
        <v>20</v>
      </c>
      <c r="E30" s="94"/>
      <c r="F30" s="95"/>
      <c r="G30" s="30">
        <f>G27+G28</f>
        <v>276397.5026881721</v>
      </c>
    </row>
    <row r="31" spans="1:8" x14ac:dyDescent="0.3">
      <c r="A31" s="104" t="s">
        <v>21</v>
      </c>
      <c r="B31" s="105"/>
      <c r="C31" s="106"/>
      <c r="D31" s="31" t="s">
        <v>22</v>
      </c>
      <c r="E31" s="1"/>
      <c r="F31" s="2"/>
      <c r="G31" s="32">
        <f>G30*9%</f>
        <v>24875.775241935487</v>
      </c>
    </row>
    <row r="32" spans="1:8" ht="14.7" customHeight="1" x14ac:dyDescent="0.3">
      <c r="A32" s="104" t="s">
        <v>23</v>
      </c>
      <c r="B32" s="105"/>
      <c r="C32" s="106"/>
      <c r="D32" s="107" t="s">
        <v>24</v>
      </c>
      <c r="E32" s="63"/>
      <c r="F32" s="64"/>
      <c r="G32" s="33">
        <f>G30*9%</f>
        <v>24875.775241935487</v>
      </c>
    </row>
    <row r="33" spans="1:7" x14ac:dyDescent="0.3">
      <c r="A33" s="90" t="s">
        <v>25</v>
      </c>
      <c r="B33" s="91"/>
      <c r="C33" s="92"/>
      <c r="D33" s="90"/>
      <c r="E33" s="96"/>
      <c r="F33" s="97"/>
      <c r="G33" s="34"/>
    </row>
    <row r="34" spans="1:7" x14ac:dyDescent="0.3">
      <c r="A34" s="93"/>
      <c r="B34" s="94"/>
      <c r="C34" s="95"/>
      <c r="F34" s="6"/>
      <c r="G34" s="6"/>
    </row>
    <row r="35" spans="1:7" x14ac:dyDescent="0.3">
      <c r="A35" s="104" t="s">
        <v>63</v>
      </c>
      <c r="B35" s="105"/>
      <c r="C35" s="106"/>
      <c r="D35" s="94"/>
      <c r="E35" s="70"/>
      <c r="F35" s="69"/>
      <c r="G35" s="35"/>
    </row>
    <row r="36" spans="1:7" x14ac:dyDescent="0.3">
      <c r="A36" s="57" t="s">
        <v>64</v>
      </c>
      <c r="B36" s="58"/>
      <c r="C36" s="108"/>
      <c r="D36" s="93" t="s">
        <v>26</v>
      </c>
      <c r="E36" s="70"/>
      <c r="F36" s="69"/>
      <c r="G36" s="36">
        <f>SUM(G30+G31+G32)</f>
        <v>326149.05317204312</v>
      </c>
    </row>
    <row r="37" spans="1:7" x14ac:dyDescent="0.3">
      <c r="A37" s="78" t="s">
        <v>27</v>
      </c>
      <c r="B37" s="109"/>
      <c r="C37" s="110"/>
      <c r="D37" s="117" t="s">
        <v>42</v>
      </c>
      <c r="E37" s="118"/>
      <c r="F37" s="118"/>
      <c r="G37" s="119"/>
    </row>
    <row r="38" spans="1:7" x14ac:dyDescent="0.3">
      <c r="A38" s="111"/>
      <c r="B38" s="112"/>
      <c r="C38" s="113"/>
      <c r="D38" s="120"/>
      <c r="E38" s="121"/>
      <c r="F38" s="121"/>
      <c r="G38" s="122"/>
    </row>
    <row r="39" spans="1:7" x14ac:dyDescent="0.3">
      <c r="A39" s="111"/>
      <c r="B39" s="112"/>
      <c r="C39" s="113"/>
      <c r="D39" s="120"/>
      <c r="E39" s="121"/>
      <c r="F39" s="121"/>
      <c r="G39" s="122"/>
    </row>
    <row r="40" spans="1:7" x14ac:dyDescent="0.3">
      <c r="A40" s="111"/>
      <c r="B40" s="112"/>
      <c r="C40" s="113"/>
      <c r="D40" s="120"/>
      <c r="E40" s="121"/>
      <c r="F40" s="121"/>
      <c r="G40" s="122"/>
    </row>
    <row r="41" spans="1:7" ht="14.4" customHeight="1" x14ac:dyDescent="0.3">
      <c r="A41" s="111"/>
      <c r="B41" s="112"/>
      <c r="C41" s="113"/>
      <c r="D41" s="120"/>
      <c r="E41" s="121"/>
      <c r="F41" s="121"/>
      <c r="G41" s="122"/>
    </row>
    <row r="42" spans="1:7" ht="14.4" customHeight="1" x14ac:dyDescent="0.3">
      <c r="A42" s="114"/>
      <c r="B42" s="115"/>
      <c r="C42" s="116"/>
      <c r="D42" s="123"/>
      <c r="E42" s="124"/>
      <c r="F42" s="124"/>
      <c r="G42" s="125"/>
    </row>
    <row r="44" spans="1:7" ht="14.4" customHeight="1" x14ac:dyDescent="0.3"/>
    <row r="45" spans="1:7" ht="14.4" customHeight="1" x14ac:dyDescent="0.3"/>
    <row r="46" spans="1:7" ht="14.4" customHeight="1" x14ac:dyDescent="0.3"/>
  </sheetData>
  <mergeCells count="40">
    <mergeCell ref="A35:C35"/>
    <mergeCell ref="D35:F35"/>
    <mergeCell ref="A36:C36"/>
    <mergeCell ref="D36:F36"/>
    <mergeCell ref="A37:C42"/>
    <mergeCell ref="D37:G42"/>
    <mergeCell ref="A33:C34"/>
    <mergeCell ref="D33:F33"/>
    <mergeCell ref="C16:C17"/>
    <mergeCell ref="D16:D17"/>
    <mergeCell ref="D27:F27"/>
    <mergeCell ref="D28:F28"/>
    <mergeCell ref="A29:C29"/>
    <mergeCell ref="D29:F29"/>
    <mergeCell ref="A30:C30"/>
    <mergeCell ref="D30:F30"/>
    <mergeCell ref="A31:C31"/>
    <mergeCell ref="A32:C32"/>
    <mergeCell ref="D32:F32"/>
    <mergeCell ref="A12:G13"/>
    <mergeCell ref="A14:A15"/>
    <mergeCell ref="B14:B15"/>
    <mergeCell ref="C14:C15"/>
    <mergeCell ref="D14:D15"/>
    <mergeCell ref="E14:E15"/>
    <mergeCell ref="F14:F15"/>
    <mergeCell ref="G14:G15"/>
    <mergeCell ref="A11:E11"/>
    <mergeCell ref="F11:G11"/>
    <mergeCell ref="A1:E1"/>
    <mergeCell ref="F1:G1"/>
    <mergeCell ref="A2:E2"/>
    <mergeCell ref="A3:E3"/>
    <mergeCell ref="F3:G3"/>
    <mergeCell ref="A4:E4"/>
    <mergeCell ref="A5:E5"/>
    <mergeCell ref="A7:E7"/>
    <mergeCell ref="F7:G7"/>
    <mergeCell ref="A8:E8"/>
    <mergeCell ref="F9:G9"/>
  </mergeCells>
  <pageMargins left="0.7" right="0.7" top="0.75" bottom="0.75" header="0.3" footer="0.3"/>
  <pageSetup paperSize="9" scale="90" fitToHeight="0" orientation="portrait" horizontalDpi="4294967293" r:id="rId1"/>
  <headerFooter>
    <oddHeader xml:space="preserve">&amp;CPROFORMA  INVOICE
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64F2-07F9-4520-A7A2-BF76E695B371}">
  <sheetPr>
    <pageSetUpPr fitToPage="1"/>
  </sheetPr>
  <dimension ref="A1:G46"/>
  <sheetViews>
    <sheetView view="pageLayout" zoomScale="89" zoomScaleNormal="100" zoomScalePageLayoutView="89" workbookViewId="0">
      <selection activeCell="E9" sqref="E9"/>
    </sheetView>
  </sheetViews>
  <sheetFormatPr defaultRowHeight="14.4" x14ac:dyDescent="0.3"/>
  <cols>
    <col min="1" max="1" width="5.33203125" customWidth="1"/>
    <col min="2" max="2" width="32.109375" customWidth="1"/>
    <col min="3" max="3" width="6" customWidth="1"/>
    <col min="4" max="4" width="7.33203125" customWidth="1"/>
    <col min="5" max="5" width="9.5546875" customWidth="1"/>
    <col min="6" max="6" width="10.33203125" customWidth="1"/>
    <col min="7" max="7" width="25.88671875" customWidth="1"/>
  </cols>
  <sheetData>
    <row r="1" spans="1:7" ht="23.4" x14ac:dyDescent="0.45">
      <c r="A1" s="126" t="s">
        <v>0</v>
      </c>
      <c r="B1" s="127"/>
      <c r="C1" s="127"/>
      <c r="D1" s="127"/>
      <c r="E1" s="127"/>
      <c r="F1" s="63"/>
      <c r="G1" s="64"/>
    </row>
    <row r="2" spans="1:7" x14ac:dyDescent="0.3">
      <c r="A2" s="65" t="s">
        <v>30</v>
      </c>
      <c r="B2" s="66"/>
      <c r="C2" s="66"/>
      <c r="D2" s="66"/>
      <c r="E2" s="67"/>
      <c r="F2" s="3"/>
      <c r="G2" s="4"/>
    </row>
    <row r="3" spans="1:7" x14ac:dyDescent="0.3">
      <c r="A3" s="65" t="s">
        <v>1</v>
      </c>
      <c r="B3" s="66"/>
      <c r="C3" s="66"/>
      <c r="D3" s="66"/>
      <c r="E3" s="66"/>
      <c r="F3" s="68" t="s">
        <v>74</v>
      </c>
      <c r="G3" s="69"/>
    </row>
    <row r="4" spans="1:7" x14ac:dyDescent="0.3">
      <c r="A4" s="68" t="s">
        <v>2</v>
      </c>
      <c r="B4" s="70"/>
      <c r="C4" s="70"/>
      <c r="D4" s="70"/>
      <c r="E4" s="70"/>
      <c r="F4" s="5" t="s">
        <v>76</v>
      </c>
      <c r="G4" s="6"/>
    </row>
    <row r="5" spans="1:7" x14ac:dyDescent="0.3">
      <c r="A5" s="68" t="s">
        <v>3</v>
      </c>
      <c r="B5" s="70"/>
      <c r="C5" s="70"/>
      <c r="D5" s="70"/>
      <c r="E5" s="70"/>
      <c r="F5" s="7"/>
      <c r="G5" s="45"/>
    </row>
    <row r="6" spans="1:7" x14ac:dyDescent="0.3">
      <c r="A6" s="7" t="s">
        <v>4</v>
      </c>
      <c r="B6" s="8"/>
      <c r="C6" s="8"/>
      <c r="D6" s="8"/>
      <c r="E6" s="8"/>
      <c r="F6" s="5"/>
      <c r="G6" s="6"/>
    </row>
    <row r="7" spans="1:7" x14ac:dyDescent="0.3">
      <c r="A7" s="71" t="s">
        <v>5</v>
      </c>
      <c r="B7" s="72"/>
      <c r="C7" s="72"/>
      <c r="D7" s="72"/>
      <c r="E7" s="72"/>
      <c r="F7" s="71" t="s">
        <v>54</v>
      </c>
      <c r="G7" s="73"/>
    </row>
    <row r="8" spans="1:7" x14ac:dyDescent="0.3">
      <c r="A8" s="74" t="s">
        <v>6</v>
      </c>
      <c r="B8" s="75"/>
      <c r="C8" s="75"/>
      <c r="D8" s="75"/>
      <c r="E8" s="75"/>
      <c r="F8" s="9" t="s">
        <v>7</v>
      </c>
      <c r="G8" s="10"/>
    </row>
    <row r="9" spans="1:7" x14ac:dyDescent="0.3">
      <c r="A9" s="11" t="s">
        <v>31</v>
      </c>
      <c r="B9" s="12"/>
      <c r="C9" s="12"/>
      <c r="D9" s="12"/>
      <c r="E9" s="12"/>
      <c r="F9" s="76" t="s">
        <v>37</v>
      </c>
      <c r="G9" s="77"/>
    </row>
    <row r="10" spans="1:7" x14ac:dyDescent="0.3">
      <c r="A10" s="13" t="s">
        <v>33</v>
      </c>
      <c r="B10" s="14"/>
      <c r="C10" s="14"/>
      <c r="D10" s="14"/>
      <c r="E10" s="14"/>
      <c r="F10" s="3" t="s">
        <v>8</v>
      </c>
      <c r="G10" s="4"/>
    </row>
    <row r="11" spans="1:7" ht="15" customHeight="1" x14ac:dyDescent="0.3">
      <c r="A11" s="57" t="s">
        <v>34</v>
      </c>
      <c r="B11" s="58"/>
      <c r="C11" s="58"/>
      <c r="D11" s="58"/>
      <c r="E11" s="58"/>
      <c r="F11" s="59" t="s">
        <v>38</v>
      </c>
      <c r="G11" s="60"/>
    </row>
    <row r="12" spans="1:7" ht="14.4" customHeight="1" x14ac:dyDescent="0.3">
      <c r="A12" s="78" t="s">
        <v>29</v>
      </c>
      <c r="B12" s="79"/>
      <c r="C12" s="79"/>
      <c r="D12" s="79"/>
      <c r="E12" s="79"/>
      <c r="F12" s="79"/>
      <c r="G12" s="80"/>
    </row>
    <row r="13" spans="1:7" x14ac:dyDescent="0.3">
      <c r="A13" s="81"/>
      <c r="B13" s="82"/>
      <c r="C13" s="82"/>
      <c r="D13" s="82"/>
      <c r="E13" s="82"/>
      <c r="F13" s="82"/>
      <c r="G13" s="83"/>
    </row>
    <row r="14" spans="1:7" ht="14.4" customHeight="1" x14ac:dyDescent="0.3">
      <c r="A14" s="84" t="s">
        <v>9</v>
      </c>
      <c r="B14" s="84" t="s">
        <v>10</v>
      </c>
      <c r="C14" s="86" t="s">
        <v>36</v>
      </c>
      <c r="D14" s="87" t="s">
        <v>11</v>
      </c>
      <c r="E14" s="86" t="s">
        <v>39</v>
      </c>
      <c r="F14" s="87" t="s">
        <v>12</v>
      </c>
      <c r="G14" s="87" t="s">
        <v>13</v>
      </c>
    </row>
    <row r="15" spans="1:7" x14ac:dyDescent="0.3">
      <c r="A15" s="85"/>
      <c r="B15" s="85"/>
      <c r="C15" s="85"/>
      <c r="D15" s="88"/>
      <c r="E15" s="89"/>
      <c r="F15" s="88"/>
      <c r="G15" s="88"/>
    </row>
    <row r="16" spans="1:7" x14ac:dyDescent="0.3">
      <c r="A16" s="15">
        <v>1</v>
      </c>
      <c r="B16" s="15" t="s">
        <v>40</v>
      </c>
      <c r="C16" s="98">
        <v>9985</v>
      </c>
      <c r="D16" s="100">
        <v>25630</v>
      </c>
      <c r="E16" s="16">
        <v>317.5</v>
      </c>
      <c r="F16" s="17">
        <v>12</v>
      </c>
      <c r="G16" s="18">
        <f>E16*(D16/31)</f>
        <v>262500.80645161291</v>
      </c>
    </row>
    <row r="17" spans="1:7" ht="15.6" x14ac:dyDescent="0.3">
      <c r="A17" s="19">
        <v>2</v>
      </c>
      <c r="B17" s="19" t="s">
        <v>41</v>
      </c>
      <c r="C17" s="99"/>
      <c r="D17" s="101"/>
      <c r="E17" s="20">
        <v>5</v>
      </c>
      <c r="F17" s="21"/>
      <c r="G17" s="53">
        <v>344.49</v>
      </c>
    </row>
    <row r="18" spans="1:7" x14ac:dyDescent="0.3">
      <c r="A18" s="22"/>
      <c r="B18" s="23"/>
      <c r="C18" s="24"/>
      <c r="D18" s="25"/>
      <c r="E18" s="26"/>
      <c r="F18" s="6"/>
      <c r="G18" s="34"/>
    </row>
    <row r="19" spans="1:7" x14ac:dyDescent="0.3">
      <c r="A19" s="22"/>
      <c r="B19" s="23"/>
      <c r="C19" s="24"/>
      <c r="D19" s="25"/>
      <c r="E19" s="26"/>
      <c r="G19" s="27"/>
    </row>
    <row r="20" spans="1:7" x14ac:dyDescent="0.3">
      <c r="A20" s="22"/>
      <c r="B20" s="23"/>
      <c r="C20" s="24"/>
      <c r="D20" s="25"/>
      <c r="E20" s="26"/>
      <c r="G20" s="27"/>
    </row>
    <row r="21" spans="1:7" x14ac:dyDescent="0.3">
      <c r="A21" s="22"/>
      <c r="B21" s="23"/>
      <c r="C21" s="24"/>
      <c r="D21" s="25"/>
      <c r="E21" s="26"/>
      <c r="G21" s="27"/>
    </row>
    <row r="22" spans="1:7" x14ac:dyDescent="0.3">
      <c r="A22" s="22"/>
      <c r="B22" s="23"/>
      <c r="C22" s="24"/>
      <c r="D22" s="25"/>
      <c r="E22" s="26"/>
      <c r="G22" s="27"/>
    </row>
    <row r="23" spans="1:7" x14ac:dyDescent="0.3">
      <c r="A23" s="22"/>
      <c r="B23" s="23"/>
      <c r="C23" s="24"/>
      <c r="D23" s="25"/>
      <c r="E23" s="26"/>
      <c r="G23" s="27"/>
    </row>
    <row r="24" spans="1:7" x14ac:dyDescent="0.3">
      <c r="A24" s="22"/>
      <c r="B24" s="23"/>
      <c r="C24" s="24"/>
      <c r="D24" s="25"/>
      <c r="E24" s="26"/>
      <c r="G24" s="27"/>
    </row>
    <row r="25" spans="1:7" x14ac:dyDescent="0.3">
      <c r="A25" s="24"/>
      <c r="B25" s="23"/>
      <c r="C25" s="24"/>
      <c r="D25" s="28"/>
      <c r="E25" s="26"/>
      <c r="G25" s="27"/>
    </row>
    <row r="26" spans="1:7" x14ac:dyDescent="0.3">
      <c r="A26" s="28"/>
      <c r="B26" s="6"/>
      <c r="C26" s="28"/>
      <c r="D26" s="28"/>
      <c r="E26" s="5"/>
      <c r="F26" s="6"/>
      <c r="G26" s="6"/>
    </row>
    <row r="27" spans="1:7" x14ac:dyDescent="0.3">
      <c r="A27" s="28"/>
      <c r="B27" s="28"/>
      <c r="C27" s="28"/>
      <c r="D27" s="102" t="s">
        <v>16</v>
      </c>
      <c r="E27" s="63"/>
      <c r="F27" s="64"/>
      <c r="G27" s="18">
        <f>SUM(G16:G17)</f>
        <v>262845.2964516129</v>
      </c>
    </row>
    <row r="28" spans="1:7" x14ac:dyDescent="0.3">
      <c r="A28" s="21"/>
      <c r="B28" s="21"/>
      <c r="C28" s="21"/>
      <c r="D28" s="70" t="s">
        <v>17</v>
      </c>
      <c r="E28" s="70"/>
      <c r="F28" s="70"/>
      <c r="G28" s="18">
        <f>G27*5%</f>
        <v>13142.264822580646</v>
      </c>
    </row>
    <row r="29" spans="1:7" x14ac:dyDescent="0.3">
      <c r="A29" s="90" t="s">
        <v>18</v>
      </c>
      <c r="B29" s="96"/>
      <c r="C29" s="97"/>
      <c r="D29" s="103"/>
      <c r="E29" s="96"/>
      <c r="F29" s="97"/>
      <c r="G29" s="29"/>
    </row>
    <row r="30" spans="1:7" ht="14.7" customHeight="1" x14ac:dyDescent="0.3">
      <c r="A30" s="104" t="s">
        <v>19</v>
      </c>
      <c r="B30" s="105"/>
      <c r="C30" s="105"/>
      <c r="D30" s="93" t="s">
        <v>20</v>
      </c>
      <c r="E30" s="94"/>
      <c r="F30" s="95"/>
      <c r="G30" s="30">
        <f>G27+G28</f>
        <v>275987.56127419352</v>
      </c>
    </row>
    <row r="31" spans="1:7" x14ac:dyDescent="0.3">
      <c r="A31" s="104" t="s">
        <v>21</v>
      </c>
      <c r="B31" s="105"/>
      <c r="C31" s="106"/>
      <c r="D31" s="31" t="s">
        <v>22</v>
      </c>
      <c r="E31" s="1"/>
      <c r="F31" s="2"/>
      <c r="G31" s="32">
        <f>G30*9%</f>
        <v>24838.880514677418</v>
      </c>
    </row>
    <row r="32" spans="1:7" ht="14.7" customHeight="1" x14ac:dyDescent="0.3">
      <c r="A32" s="104" t="s">
        <v>23</v>
      </c>
      <c r="B32" s="105"/>
      <c r="C32" s="106"/>
      <c r="D32" s="107" t="s">
        <v>24</v>
      </c>
      <c r="E32" s="63"/>
      <c r="F32" s="64"/>
      <c r="G32" s="33">
        <f>G30*9%</f>
        <v>24838.880514677418</v>
      </c>
    </row>
    <row r="33" spans="1:7" x14ac:dyDescent="0.3">
      <c r="A33" s="90" t="s">
        <v>25</v>
      </c>
      <c r="B33" s="91"/>
      <c r="C33" s="92"/>
      <c r="D33" s="90"/>
      <c r="E33" s="96"/>
      <c r="F33" s="97"/>
      <c r="G33" s="34"/>
    </row>
    <row r="34" spans="1:7" x14ac:dyDescent="0.3">
      <c r="A34" s="93"/>
      <c r="B34" s="94"/>
      <c r="C34" s="95"/>
      <c r="D34" s="93" t="s">
        <v>20</v>
      </c>
      <c r="E34" s="70"/>
      <c r="F34" s="69"/>
      <c r="G34" s="52">
        <f>SUM(G30:G32)</f>
        <v>325665.3223035484</v>
      </c>
    </row>
    <row r="35" spans="1:7" x14ac:dyDescent="0.3">
      <c r="A35" s="104" t="s">
        <v>59</v>
      </c>
      <c r="B35" s="105"/>
      <c r="C35" s="106"/>
      <c r="D35" s="94" t="s">
        <v>72</v>
      </c>
      <c r="E35" s="70"/>
      <c r="F35" s="69"/>
      <c r="G35" s="50">
        <v>0.32</v>
      </c>
    </row>
    <row r="36" spans="1:7" x14ac:dyDescent="0.3">
      <c r="A36" s="57" t="s">
        <v>60</v>
      </c>
      <c r="B36" s="58"/>
      <c r="C36" s="108"/>
      <c r="D36" s="93" t="s">
        <v>26</v>
      </c>
      <c r="E36" s="70"/>
      <c r="F36" s="69"/>
      <c r="G36" s="36">
        <f>G34-G35</f>
        <v>325665.00230354839</v>
      </c>
    </row>
    <row r="37" spans="1:7" x14ac:dyDescent="0.3">
      <c r="A37" s="78" t="s">
        <v>27</v>
      </c>
      <c r="B37" s="109"/>
      <c r="C37" s="110"/>
      <c r="D37" s="117" t="s">
        <v>42</v>
      </c>
      <c r="E37" s="118"/>
      <c r="F37" s="118"/>
      <c r="G37" s="119"/>
    </row>
    <row r="38" spans="1:7" x14ac:dyDescent="0.3">
      <c r="A38" s="111"/>
      <c r="B38" s="112"/>
      <c r="C38" s="113"/>
      <c r="D38" s="120"/>
      <c r="E38" s="121"/>
      <c r="F38" s="121"/>
      <c r="G38" s="122"/>
    </row>
    <row r="39" spans="1:7" x14ac:dyDescent="0.3">
      <c r="A39" s="111"/>
      <c r="B39" s="112"/>
      <c r="C39" s="113"/>
      <c r="D39" s="120"/>
      <c r="E39" s="121"/>
      <c r="F39" s="121"/>
      <c r="G39" s="122"/>
    </row>
    <row r="40" spans="1:7" x14ac:dyDescent="0.3">
      <c r="A40" s="111"/>
      <c r="B40" s="112"/>
      <c r="C40" s="113"/>
      <c r="D40" s="120"/>
      <c r="E40" s="121"/>
      <c r="F40" s="121"/>
      <c r="G40" s="122"/>
    </row>
    <row r="41" spans="1:7" ht="14.4" customHeight="1" x14ac:dyDescent="0.3">
      <c r="A41" s="111"/>
      <c r="B41" s="112"/>
      <c r="C41" s="113"/>
      <c r="D41" s="120"/>
      <c r="E41" s="121"/>
      <c r="F41" s="121"/>
      <c r="G41" s="122"/>
    </row>
    <row r="42" spans="1:7" ht="14.4" customHeight="1" x14ac:dyDescent="0.3">
      <c r="A42" s="114"/>
      <c r="B42" s="115"/>
      <c r="C42" s="116"/>
      <c r="D42" s="123"/>
      <c r="E42" s="124"/>
      <c r="F42" s="124"/>
      <c r="G42" s="125"/>
    </row>
    <row r="44" spans="1:7" ht="14.4" customHeight="1" x14ac:dyDescent="0.3"/>
    <row r="45" spans="1:7" ht="14.4" customHeight="1" x14ac:dyDescent="0.3"/>
    <row r="46" spans="1:7" ht="14.4" customHeight="1" x14ac:dyDescent="0.3"/>
  </sheetData>
  <mergeCells count="41">
    <mergeCell ref="A35:C35"/>
    <mergeCell ref="D35:F35"/>
    <mergeCell ref="A36:C36"/>
    <mergeCell ref="D36:F36"/>
    <mergeCell ref="A37:C42"/>
    <mergeCell ref="D37:G42"/>
    <mergeCell ref="A33:C34"/>
    <mergeCell ref="D33:F33"/>
    <mergeCell ref="C16:C17"/>
    <mergeCell ref="D16:D17"/>
    <mergeCell ref="D27:F27"/>
    <mergeCell ref="D28:F28"/>
    <mergeCell ref="A29:C29"/>
    <mergeCell ref="D29:F29"/>
    <mergeCell ref="A30:C30"/>
    <mergeCell ref="D30:F30"/>
    <mergeCell ref="A31:C31"/>
    <mergeCell ref="A32:C32"/>
    <mergeCell ref="D32:F32"/>
    <mergeCell ref="D34:F34"/>
    <mergeCell ref="A12:G13"/>
    <mergeCell ref="A14:A15"/>
    <mergeCell ref="B14:B15"/>
    <mergeCell ref="C14:C15"/>
    <mergeCell ref="D14:D15"/>
    <mergeCell ref="E14:E15"/>
    <mergeCell ref="F14:F15"/>
    <mergeCell ref="G14:G15"/>
    <mergeCell ref="A11:E11"/>
    <mergeCell ref="F11:G11"/>
    <mergeCell ref="A1:E1"/>
    <mergeCell ref="F1:G1"/>
    <mergeCell ref="A2:E2"/>
    <mergeCell ref="A3:E3"/>
    <mergeCell ref="F3:G3"/>
    <mergeCell ref="A4:E4"/>
    <mergeCell ref="A5:E5"/>
    <mergeCell ref="A7:E7"/>
    <mergeCell ref="F7:G7"/>
    <mergeCell ref="A8:E8"/>
    <mergeCell ref="F9:G9"/>
  </mergeCells>
  <pageMargins left="0.7" right="0.7" top="0.75" bottom="0.75" header="0.3" footer="0.3"/>
  <pageSetup paperSize="9" scale="90" fitToHeight="0" orientation="portrait" horizontalDpi="4294967293" r:id="rId1"/>
  <headerFooter>
    <oddHeader xml:space="preserve">&amp;CTAX  INVOICE
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7E16-30AF-4CA5-AB89-D6C4850CA883}">
  <sheetPr>
    <pageSetUpPr fitToPage="1"/>
  </sheetPr>
  <dimension ref="A1:G45"/>
  <sheetViews>
    <sheetView view="pageLayout" topLeftCell="A19" zoomScale="86" zoomScaleNormal="100" zoomScalePageLayoutView="86" workbookViewId="0">
      <selection activeCell="E17" sqref="E17"/>
    </sheetView>
  </sheetViews>
  <sheetFormatPr defaultRowHeight="14.4" x14ac:dyDescent="0.3"/>
  <cols>
    <col min="1" max="1" width="5.33203125" customWidth="1"/>
    <col min="2" max="2" width="32.109375" customWidth="1"/>
    <col min="3" max="3" width="7" customWidth="1"/>
    <col min="4" max="4" width="8.88671875" customWidth="1"/>
    <col min="5" max="5" width="10.44140625" customWidth="1"/>
    <col min="6" max="6" width="9.109375" customWidth="1"/>
    <col min="7" max="7" width="25.5546875" customWidth="1"/>
  </cols>
  <sheetData>
    <row r="1" spans="1:7" ht="23.4" x14ac:dyDescent="0.45">
      <c r="A1" s="61" t="s">
        <v>0</v>
      </c>
      <c r="B1" s="62"/>
      <c r="C1" s="62"/>
      <c r="D1" s="62"/>
      <c r="E1" s="62"/>
      <c r="F1" s="63"/>
      <c r="G1" s="64"/>
    </row>
    <row r="2" spans="1:7" x14ac:dyDescent="0.3">
      <c r="A2" s="65" t="s">
        <v>30</v>
      </c>
      <c r="B2" s="66"/>
      <c r="C2" s="66"/>
      <c r="D2" s="66"/>
      <c r="E2" s="67"/>
      <c r="F2" s="3"/>
      <c r="G2" s="4"/>
    </row>
    <row r="3" spans="1:7" x14ac:dyDescent="0.3">
      <c r="A3" s="65" t="s">
        <v>1</v>
      </c>
      <c r="B3" s="66"/>
      <c r="C3" s="66"/>
      <c r="D3" s="66"/>
      <c r="E3" s="67"/>
      <c r="F3" s="68" t="s">
        <v>57</v>
      </c>
      <c r="G3" s="69"/>
    </row>
    <row r="4" spans="1:7" x14ac:dyDescent="0.3">
      <c r="A4" s="68" t="s">
        <v>2</v>
      </c>
      <c r="B4" s="70"/>
      <c r="C4" s="70"/>
      <c r="D4" s="70"/>
      <c r="E4" s="70"/>
      <c r="F4" s="5" t="s">
        <v>58</v>
      </c>
      <c r="G4" s="6"/>
    </row>
    <row r="5" spans="1:7" x14ac:dyDescent="0.3">
      <c r="A5" s="68" t="s">
        <v>3</v>
      </c>
      <c r="B5" s="70"/>
      <c r="C5" s="70"/>
      <c r="D5" s="70"/>
      <c r="E5" s="70"/>
      <c r="F5" s="7"/>
      <c r="G5" s="45"/>
    </row>
    <row r="6" spans="1:7" x14ac:dyDescent="0.3">
      <c r="A6" s="7" t="s">
        <v>4</v>
      </c>
      <c r="B6" s="8"/>
      <c r="C6" s="8"/>
      <c r="D6" s="8"/>
      <c r="E6" s="8"/>
      <c r="F6" s="5"/>
      <c r="G6" s="6"/>
    </row>
    <row r="7" spans="1:7" ht="15" customHeight="1" x14ac:dyDescent="0.3">
      <c r="A7" s="71" t="s">
        <v>5</v>
      </c>
      <c r="B7" s="72"/>
      <c r="C7" s="72"/>
      <c r="D7" s="72"/>
      <c r="E7" s="72"/>
      <c r="F7" s="71" t="s">
        <v>54</v>
      </c>
      <c r="G7" s="73"/>
    </row>
    <row r="8" spans="1:7" ht="15" customHeight="1" x14ac:dyDescent="0.3">
      <c r="A8" s="74" t="s">
        <v>6</v>
      </c>
      <c r="B8" s="75"/>
      <c r="C8" s="75"/>
      <c r="D8" s="75"/>
      <c r="E8" s="75"/>
      <c r="F8" s="9" t="s">
        <v>7</v>
      </c>
      <c r="G8" s="10"/>
    </row>
    <row r="9" spans="1:7" x14ac:dyDescent="0.3">
      <c r="A9" s="11" t="s">
        <v>31</v>
      </c>
      <c r="B9" s="12"/>
      <c r="C9" s="12"/>
      <c r="D9" s="12"/>
      <c r="E9" s="12"/>
      <c r="F9" s="128" t="s">
        <v>32</v>
      </c>
      <c r="G9" s="129"/>
    </row>
    <row r="10" spans="1:7" x14ac:dyDescent="0.3">
      <c r="A10" s="13" t="s">
        <v>33</v>
      </c>
      <c r="B10" s="14"/>
      <c r="C10" s="14"/>
      <c r="D10" s="14"/>
      <c r="E10" s="14"/>
      <c r="F10" s="3" t="s">
        <v>8</v>
      </c>
      <c r="G10" s="4"/>
    </row>
    <row r="11" spans="1:7" ht="15" customHeight="1" x14ac:dyDescent="0.3">
      <c r="A11" s="57" t="s">
        <v>34</v>
      </c>
      <c r="B11" s="58"/>
      <c r="C11" s="58"/>
      <c r="D11" s="58"/>
      <c r="E11" s="58"/>
      <c r="F11" s="59" t="s">
        <v>35</v>
      </c>
      <c r="G11" s="60"/>
    </row>
    <row r="12" spans="1:7" ht="14.4" customHeight="1" x14ac:dyDescent="0.3">
      <c r="A12" s="78" t="s">
        <v>29</v>
      </c>
      <c r="B12" s="79"/>
      <c r="C12" s="79"/>
      <c r="D12" s="79"/>
      <c r="E12" s="79"/>
      <c r="F12" s="79"/>
      <c r="G12" s="80"/>
    </row>
    <row r="13" spans="1:7" x14ac:dyDescent="0.3">
      <c r="A13" s="81"/>
      <c r="B13" s="82"/>
      <c r="C13" s="82"/>
      <c r="D13" s="82"/>
      <c r="E13" s="82"/>
      <c r="F13" s="82"/>
      <c r="G13" s="83"/>
    </row>
    <row r="14" spans="1:7" ht="14.4" customHeight="1" x14ac:dyDescent="0.3">
      <c r="A14" s="84" t="s">
        <v>9</v>
      </c>
      <c r="B14" s="84" t="s">
        <v>10</v>
      </c>
      <c r="C14" s="86" t="s">
        <v>36</v>
      </c>
      <c r="D14" s="87" t="s">
        <v>11</v>
      </c>
      <c r="E14" s="86" t="s">
        <v>39</v>
      </c>
      <c r="F14" s="87" t="s">
        <v>12</v>
      </c>
      <c r="G14" s="87" t="s">
        <v>13</v>
      </c>
    </row>
    <row r="15" spans="1:7" x14ac:dyDescent="0.3">
      <c r="A15" s="85"/>
      <c r="B15" s="85"/>
      <c r="C15" s="85"/>
      <c r="D15" s="88"/>
      <c r="E15" s="85"/>
      <c r="F15" s="88"/>
      <c r="G15" s="88"/>
    </row>
    <row r="16" spans="1:7" x14ac:dyDescent="0.3">
      <c r="A16" s="15">
        <v>1</v>
      </c>
      <c r="B16" s="15" t="s">
        <v>14</v>
      </c>
      <c r="C16" s="98">
        <v>9985</v>
      </c>
      <c r="D16" s="100">
        <v>18700</v>
      </c>
      <c r="E16" s="16">
        <v>165</v>
      </c>
      <c r="F16" s="17">
        <v>6</v>
      </c>
      <c r="G16" s="18">
        <f>E16*(D16/31)</f>
        <v>99532.258064516136</v>
      </c>
    </row>
    <row r="17" spans="1:7" x14ac:dyDescent="0.3">
      <c r="A17" s="19">
        <v>2</v>
      </c>
      <c r="B17" s="19" t="s">
        <v>15</v>
      </c>
      <c r="C17" s="99"/>
      <c r="D17" s="101"/>
      <c r="E17" s="20">
        <v>0</v>
      </c>
      <c r="F17" s="21"/>
      <c r="G17" s="18">
        <f>E17*(13500/30/9)</f>
        <v>0</v>
      </c>
    </row>
    <row r="18" spans="1:7" x14ac:dyDescent="0.3">
      <c r="A18" s="22"/>
      <c r="B18" s="23"/>
      <c r="C18" s="24"/>
      <c r="D18" s="25"/>
      <c r="E18" s="26"/>
      <c r="F18" s="6"/>
      <c r="G18" s="34"/>
    </row>
    <row r="19" spans="1:7" x14ac:dyDescent="0.3">
      <c r="A19" s="22"/>
      <c r="B19" s="23"/>
      <c r="C19" s="24"/>
      <c r="D19" s="25"/>
      <c r="E19" s="26"/>
      <c r="G19" s="27"/>
    </row>
    <row r="20" spans="1:7" x14ac:dyDescent="0.3">
      <c r="A20" s="22"/>
      <c r="B20" s="23"/>
      <c r="C20" s="24"/>
      <c r="D20" s="25"/>
      <c r="E20" s="26"/>
      <c r="G20" s="27"/>
    </row>
    <row r="21" spans="1:7" x14ac:dyDescent="0.3">
      <c r="A21" s="22"/>
      <c r="B21" s="23"/>
      <c r="C21" s="24"/>
      <c r="D21" s="25"/>
      <c r="E21" s="26"/>
      <c r="G21" s="27" t="s">
        <v>53</v>
      </c>
    </row>
    <row r="22" spans="1:7" x14ac:dyDescent="0.3">
      <c r="A22" s="22"/>
      <c r="B22" s="23"/>
      <c r="C22" s="24"/>
      <c r="D22" s="25"/>
      <c r="E22" s="26"/>
      <c r="G22" s="27"/>
    </row>
    <row r="23" spans="1:7" x14ac:dyDescent="0.3">
      <c r="A23" s="22"/>
      <c r="B23" s="23"/>
      <c r="C23" s="24"/>
      <c r="D23" s="25"/>
      <c r="E23" s="26"/>
      <c r="G23" s="27"/>
    </row>
    <row r="24" spans="1:7" x14ac:dyDescent="0.3">
      <c r="A24" s="22"/>
      <c r="B24" s="23"/>
      <c r="C24" s="24"/>
      <c r="D24" s="25"/>
      <c r="E24" s="26"/>
      <c r="G24" s="27"/>
    </row>
    <row r="25" spans="1:7" x14ac:dyDescent="0.3">
      <c r="A25" s="24"/>
      <c r="B25" s="23"/>
      <c r="C25" s="24"/>
      <c r="D25" s="28"/>
      <c r="E25" s="26"/>
      <c r="G25" s="27"/>
    </row>
    <row r="26" spans="1:7" x14ac:dyDescent="0.3">
      <c r="A26" s="28"/>
      <c r="B26" s="6"/>
      <c r="C26" s="28"/>
      <c r="D26" s="28"/>
      <c r="E26" s="5"/>
      <c r="F26" s="6"/>
      <c r="G26" s="6"/>
    </row>
    <row r="27" spans="1:7" x14ac:dyDescent="0.3">
      <c r="A27" s="28"/>
      <c r="B27" s="28"/>
      <c r="C27" s="28"/>
      <c r="D27" s="102" t="s">
        <v>16</v>
      </c>
      <c r="E27" s="63"/>
      <c r="F27" s="64"/>
      <c r="G27" s="18">
        <f>SUM(G16:G17)</f>
        <v>99532.258064516136</v>
      </c>
    </row>
    <row r="28" spans="1:7" x14ac:dyDescent="0.3">
      <c r="A28" s="21"/>
      <c r="B28" s="21"/>
      <c r="C28" s="21"/>
      <c r="D28" s="70" t="s">
        <v>17</v>
      </c>
      <c r="E28" s="70"/>
      <c r="F28" s="70"/>
      <c r="G28" s="18">
        <f>G27*5%</f>
        <v>4976.6129032258068</v>
      </c>
    </row>
    <row r="29" spans="1:7" x14ac:dyDescent="0.3">
      <c r="A29" s="90" t="s">
        <v>18</v>
      </c>
      <c r="B29" s="96"/>
      <c r="C29" s="97"/>
      <c r="D29" s="103"/>
      <c r="E29" s="96"/>
      <c r="F29" s="97"/>
      <c r="G29" s="29"/>
    </row>
    <row r="30" spans="1:7" ht="14.7" customHeight="1" x14ac:dyDescent="0.3">
      <c r="A30" s="104" t="s">
        <v>19</v>
      </c>
      <c r="B30" s="105"/>
      <c r="C30" s="105"/>
      <c r="D30" s="93" t="s">
        <v>20</v>
      </c>
      <c r="E30" s="94"/>
      <c r="F30" s="95"/>
      <c r="G30" s="30">
        <f>G27+G28</f>
        <v>104508.87096774194</v>
      </c>
    </row>
    <row r="31" spans="1:7" x14ac:dyDescent="0.3">
      <c r="A31" s="104" t="s">
        <v>21</v>
      </c>
      <c r="B31" s="105"/>
      <c r="C31" s="106"/>
      <c r="D31" s="31" t="s">
        <v>22</v>
      </c>
      <c r="E31" s="1"/>
      <c r="F31" s="2"/>
      <c r="G31" s="32">
        <f>G30*9%</f>
        <v>9405.7983870967746</v>
      </c>
    </row>
    <row r="32" spans="1:7" ht="14.7" customHeight="1" x14ac:dyDescent="0.3">
      <c r="A32" s="104" t="s">
        <v>23</v>
      </c>
      <c r="B32" s="105"/>
      <c r="C32" s="106"/>
      <c r="D32" s="107" t="s">
        <v>24</v>
      </c>
      <c r="E32" s="63"/>
      <c r="F32" s="64"/>
      <c r="G32" s="33">
        <f>G30*9%</f>
        <v>9405.7983870967746</v>
      </c>
    </row>
    <row r="33" spans="1:7" x14ac:dyDescent="0.3">
      <c r="A33" s="90" t="s">
        <v>25</v>
      </c>
      <c r="B33" s="91"/>
      <c r="C33" s="92"/>
      <c r="D33" s="90"/>
      <c r="E33" s="96"/>
      <c r="F33" s="97"/>
      <c r="G33" s="34"/>
    </row>
    <row r="34" spans="1:7" x14ac:dyDescent="0.3">
      <c r="A34" s="93"/>
      <c r="B34" s="94"/>
      <c r="C34" s="95"/>
      <c r="F34" s="6"/>
      <c r="G34" s="6"/>
    </row>
    <row r="35" spans="1:7" x14ac:dyDescent="0.3">
      <c r="A35" s="130" t="s">
        <v>61</v>
      </c>
      <c r="B35" s="131"/>
      <c r="C35" s="132"/>
      <c r="D35" s="94"/>
      <c r="E35" s="70"/>
      <c r="F35" s="69"/>
      <c r="G35" s="35"/>
    </row>
    <row r="36" spans="1:7" x14ac:dyDescent="0.3">
      <c r="A36" s="71" t="s">
        <v>62</v>
      </c>
      <c r="B36" s="72"/>
      <c r="C36" s="73"/>
      <c r="D36" s="93" t="s">
        <v>26</v>
      </c>
      <c r="E36" s="70"/>
      <c r="F36" s="69"/>
      <c r="G36" s="36">
        <f>SUM(G30+G31+G32)</f>
        <v>123320.46774193548</v>
      </c>
    </row>
    <row r="37" spans="1:7" x14ac:dyDescent="0.3">
      <c r="A37" s="78" t="s">
        <v>27</v>
      </c>
      <c r="B37" s="109"/>
      <c r="C37" s="110"/>
      <c r="D37" s="117" t="s">
        <v>28</v>
      </c>
      <c r="E37" s="118"/>
      <c r="F37" s="118"/>
      <c r="G37" s="119"/>
    </row>
    <row r="38" spans="1:7" x14ac:dyDescent="0.3">
      <c r="A38" s="111"/>
      <c r="B38" s="112"/>
      <c r="C38" s="113"/>
      <c r="D38" s="120"/>
      <c r="E38" s="121"/>
      <c r="F38" s="121"/>
      <c r="G38" s="122"/>
    </row>
    <row r="39" spans="1:7" x14ac:dyDescent="0.3">
      <c r="A39" s="111"/>
      <c r="B39" s="112"/>
      <c r="C39" s="113"/>
      <c r="D39" s="120"/>
      <c r="E39" s="121"/>
      <c r="F39" s="121"/>
      <c r="G39" s="122"/>
    </row>
    <row r="40" spans="1:7" ht="14.4" customHeight="1" x14ac:dyDescent="0.3">
      <c r="A40" s="111"/>
      <c r="B40" s="112"/>
      <c r="C40" s="113"/>
      <c r="D40" s="120"/>
      <c r="E40" s="121"/>
      <c r="F40" s="121"/>
      <c r="G40" s="122"/>
    </row>
    <row r="41" spans="1:7" ht="14.4" customHeight="1" x14ac:dyDescent="0.3">
      <c r="A41" s="114"/>
      <c r="B41" s="115"/>
      <c r="C41" s="116"/>
      <c r="D41" s="123"/>
      <c r="E41" s="124"/>
      <c r="F41" s="124"/>
      <c r="G41" s="125"/>
    </row>
    <row r="43" spans="1:7" ht="14.4" customHeight="1" x14ac:dyDescent="0.3"/>
    <row r="44" spans="1:7" ht="14.4" customHeight="1" x14ac:dyDescent="0.3"/>
    <row r="45" spans="1:7" ht="14.4" customHeight="1" x14ac:dyDescent="0.3"/>
  </sheetData>
  <mergeCells count="40">
    <mergeCell ref="A35:C35"/>
    <mergeCell ref="D35:F35"/>
    <mergeCell ref="A36:C36"/>
    <mergeCell ref="D36:F36"/>
    <mergeCell ref="A37:C41"/>
    <mergeCell ref="D37:G41"/>
    <mergeCell ref="A33:C34"/>
    <mergeCell ref="D33:F33"/>
    <mergeCell ref="C16:C17"/>
    <mergeCell ref="D16:D17"/>
    <mergeCell ref="D27:F27"/>
    <mergeCell ref="D28:F28"/>
    <mergeCell ref="A29:C29"/>
    <mergeCell ref="D29:F29"/>
    <mergeCell ref="A30:C30"/>
    <mergeCell ref="D30:F30"/>
    <mergeCell ref="A31:C31"/>
    <mergeCell ref="A32:C32"/>
    <mergeCell ref="D32:F32"/>
    <mergeCell ref="A12:G13"/>
    <mergeCell ref="A14:A15"/>
    <mergeCell ref="B14:B15"/>
    <mergeCell ref="C14:C15"/>
    <mergeCell ref="D14:D15"/>
    <mergeCell ref="E14:E15"/>
    <mergeCell ref="F14:F15"/>
    <mergeCell ref="G14:G15"/>
    <mergeCell ref="A11:E11"/>
    <mergeCell ref="F11:G11"/>
    <mergeCell ref="A1:E1"/>
    <mergeCell ref="F1:G1"/>
    <mergeCell ref="A2:E2"/>
    <mergeCell ref="A3:E3"/>
    <mergeCell ref="F3:G3"/>
    <mergeCell ref="A4:E4"/>
    <mergeCell ref="A5:E5"/>
    <mergeCell ref="A7:E7"/>
    <mergeCell ref="F7:G7"/>
    <mergeCell ref="A8:E8"/>
    <mergeCell ref="F9:G9"/>
  </mergeCells>
  <pageMargins left="0.7" right="0.7" top="0.75" bottom="0.75" header="0.3" footer="0.3"/>
  <pageSetup paperSize="9" scale="88" fitToHeight="0" orientation="portrait" horizontalDpi="4294967293" r:id="rId1"/>
  <headerFooter>
    <oddHeader xml:space="preserve">&amp;CPROFORMA  INVOICE
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DDC75-72A6-4175-95E7-532B2D31C1E8}">
  <sheetPr>
    <pageSetUpPr fitToPage="1"/>
  </sheetPr>
  <dimension ref="A1:G45"/>
  <sheetViews>
    <sheetView view="pageLayout" zoomScale="86" zoomScaleNormal="100" zoomScalePageLayoutView="86" workbookViewId="0">
      <selection activeCell="A37" sqref="A37:C41"/>
    </sheetView>
  </sheetViews>
  <sheetFormatPr defaultRowHeight="14.4" x14ac:dyDescent="0.3"/>
  <cols>
    <col min="1" max="1" width="5.33203125" customWidth="1"/>
    <col min="2" max="2" width="32.109375" customWidth="1"/>
    <col min="3" max="3" width="7" customWidth="1"/>
    <col min="4" max="4" width="8.88671875" customWidth="1"/>
    <col min="5" max="5" width="10.44140625" customWidth="1"/>
    <col min="6" max="6" width="9.109375" customWidth="1"/>
    <col min="7" max="7" width="25.5546875" customWidth="1"/>
  </cols>
  <sheetData>
    <row r="1" spans="1:7" ht="23.4" x14ac:dyDescent="0.45">
      <c r="A1" s="61" t="s">
        <v>0</v>
      </c>
      <c r="B1" s="62"/>
      <c r="C1" s="62"/>
      <c r="D1" s="62"/>
      <c r="E1" s="62"/>
      <c r="F1" s="63"/>
      <c r="G1" s="64"/>
    </row>
    <row r="2" spans="1:7" x14ac:dyDescent="0.3">
      <c r="A2" s="65" t="s">
        <v>30</v>
      </c>
      <c r="B2" s="66"/>
      <c r="C2" s="66"/>
      <c r="D2" s="66"/>
      <c r="E2" s="67"/>
      <c r="F2" s="3"/>
      <c r="G2" s="4"/>
    </row>
    <row r="3" spans="1:7" x14ac:dyDescent="0.3">
      <c r="A3" s="65" t="s">
        <v>1</v>
      </c>
      <c r="B3" s="66"/>
      <c r="C3" s="66"/>
      <c r="D3" s="66"/>
      <c r="E3" s="67"/>
      <c r="F3" s="68" t="s">
        <v>57</v>
      </c>
      <c r="G3" s="69"/>
    </row>
    <row r="4" spans="1:7" x14ac:dyDescent="0.3">
      <c r="A4" s="68" t="s">
        <v>2</v>
      </c>
      <c r="B4" s="70"/>
      <c r="C4" s="70"/>
      <c r="D4" s="70"/>
      <c r="E4" s="70"/>
      <c r="F4" s="5" t="s">
        <v>58</v>
      </c>
      <c r="G4" s="6"/>
    </row>
    <row r="5" spans="1:7" x14ac:dyDescent="0.3">
      <c r="A5" s="68" t="s">
        <v>3</v>
      </c>
      <c r="B5" s="70"/>
      <c r="C5" s="70"/>
      <c r="D5" s="70"/>
      <c r="E5" s="70"/>
      <c r="F5" s="7"/>
      <c r="G5" s="45"/>
    </row>
    <row r="6" spans="1:7" x14ac:dyDescent="0.3">
      <c r="A6" s="7" t="s">
        <v>4</v>
      </c>
      <c r="B6" s="8"/>
      <c r="C6" s="8"/>
      <c r="D6" s="8"/>
      <c r="E6" s="8"/>
      <c r="F6" s="5"/>
      <c r="G6" s="6"/>
    </row>
    <row r="7" spans="1:7" ht="15" customHeight="1" x14ac:dyDescent="0.3">
      <c r="A7" s="71" t="s">
        <v>5</v>
      </c>
      <c r="B7" s="72"/>
      <c r="C7" s="72"/>
      <c r="D7" s="72"/>
      <c r="E7" s="72"/>
      <c r="F7" s="71" t="s">
        <v>54</v>
      </c>
      <c r="G7" s="73"/>
    </row>
    <row r="8" spans="1:7" ht="15" customHeight="1" x14ac:dyDescent="0.3">
      <c r="A8" s="74" t="s">
        <v>6</v>
      </c>
      <c r="B8" s="75"/>
      <c r="C8" s="75"/>
      <c r="D8" s="75"/>
      <c r="E8" s="75"/>
      <c r="F8" s="9" t="s">
        <v>7</v>
      </c>
      <c r="G8" s="10"/>
    </row>
    <row r="9" spans="1:7" x14ac:dyDescent="0.3">
      <c r="A9" s="11" t="s">
        <v>31</v>
      </c>
      <c r="B9" s="12"/>
      <c r="C9" s="12"/>
      <c r="D9" s="12"/>
      <c r="E9" s="12"/>
      <c r="F9" s="128" t="s">
        <v>32</v>
      </c>
      <c r="G9" s="129"/>
    </row>
    <row r="10" spans="1:7" x14ac:dyDescent="0.3">
      <c r="A10" s="13" t="s">
        <v>33</v>
      </c>
      <c r="B10" s="14"/>
      <c r="C10" s="14"/>
      <c r="D10" s="14"/>
      <c r="E10" s="14"/>
      <c r="F10" s="3" t="s">
        <v>8</v>
      </c>
      <c r="G10" s="4"/>
    </row>
    <row r="11" spans="1:7" ht="15" customHeight="1" x14ac:dyDescent="0.3">
      <c r="A11" s="57" t="s">
        <v>34</v>
      </c>
      <c r="B11" s="58"/>
      <c r="C11" s="58"/>
      <c r="D11" s="58"/>
      <c r="E11" s="58"/>
      <c r="F11" s="59" t="s">
        <v>35</v>
      </c>
      <c r="G11" s="60"/>
    </row>
    <row r="12" spans="1:7" ht="14.4" customHeight="1" x14ac:dyDescent="0.3">
      <c r="A12" s="78" t="s">
        <v>29</v>
      </c>
      <c r="B12" s="79"/>
      <c r="C12" s="79"/>
      <c r="D12" s="79"/>
      <c r="E12" s="79"/>
      <c r="F12" s="79"/>
      <c r="G12" s="80"/>
    </row>
    <row r="13" spans="1:7" x14ac:dyDescent="0.3">
      <c r="A13" s="81"/>
      <c r="B13" s="82"/>
      <c r="C13" s="82"/>
      <c r="D13" s="82"/>
      <c r="E13" s="82"/>
      <c r="F13" s="82"/>
      <c r="G13" s="83"/>
    </row>
    <row r="14" spans="1:7" ht="14.4" customHeight="1" x14ac:dyDescent="0.3">
      <c r="A14" s="84" t="s">
        <v>9</v>
      </c>
      <c r="B14" s="84" t="s">
        <v>10</v>
      </c>
      <c r="C14" s="86" t="s">
        <v>36</v>
      </c>
      <c r="D14" s="87" t="s">
        <v>11</v>
      </c>
      <c r="E14" s="86" t="s">
        <v>39</v>
      </c>
      <c r="F14" s="87" t="s">
        <v>12</v>
      </c>
      <c r="G14" s="87" t="s">
        <v>13</v>
      </c>
    </row>
    <row r="15" spans="1:7" x14ac:dyDescent="0.3">
      <c r="A15" s="85"/>
      <c r="B15" s="85"/>
      <c r="C15" s="85"/>
      <c r="D15" s="88"/>
      <c r="E15" s="85"/>
      <c r="F15" s="88"/>
      <c r="G15" s="88"/>
    </row>
    <row r="16" spans="1:7" x14ac:dyDescent="0.3">
      <c r="A16" s="15">
        <v>1</v>
      </c>
      <c r="B16" s="15" t="s">
        <v>14</v>
      </c>
      <c r="C16" s="98">
        <v>9985</v>
      </c>
      <c r="D16" s="100">
        <v>18700</v>
      </c>
      <c r="E16" s="16">
        <v>163</v>
      </c>
      <c r="F16" s="17">
        <v>6</v>
      </c>
      <c r="G16" s="18">
        <f>E16*(D16/31)</f>
        <v>98325.806451612909</v>
      </c>
    </row>
    <row r="17" spans="1:7" x14ac:dyDescent="0.3">
      <c r="A17" s="19">
        <v>2</v>
      </c>
      <c r="B17" s="19" t="s">
        <v>15</v>
      </c>
      <c r="C17" s="99"/>
      <c r="D17" s="101"/>
      <c r="E17" s="20">
        <v>0</v>
      </c>
      <c r="F17" s="21"/>
      <c r="G17" s="18">
        <f>E17*(13500/30/9)</f>
        <v>0</v>
      </c>
    </row>
    <row r="18" spans="1:7" x14ac:dyDescent="0.3">
      <c r="A18" s="22"/>
      <c r="B18" s="23"/>
      <c r="C18" s="24"/>
      <c r="D18" s="25"/>
      <c r="E18" s="26"/>
      <c r="F18" s="6"/>
      <c r="G18" s="34"/>
    </row>
    <row r="19" spans="1:7" x14ac:dyDescent="0.3">
      <c r="A19" s="22"/>
      <c r="B19" s="23"/>
      <c r="C19" s="24"/>
      <c r="D19" s="25"/>
      <c r="E19" s="26"/>
      <c r="G19" s="27"/>
    </row>
    <row r="20" spans="1:7" x14ac:dyDescent="0.3">
      <c r="A20" s="22"/>
      <c r="B20" s="23"/>
      <c r="C20" s="24"/>
      <c r="D20" s="25"/>
      <c r="E20" s="26"/>
      <c r="G20" s="27"/>
    </row>
    <row r="21" spans="1:7" x14ac:dyDescent="0.3">
      <c r="A21" s="22"/>
      <c r="B21" s="23"/>
      <c r="C21" s="24"/>
      <c r="D21" s="25"/>
      <c r="E21" s="26"/>
      <c r="G21" s="27" t="s">
        <v>53</v>
      </c>
    </row>
    <row r="22" spans="1:7" x14ac:dyDescent="0.3">
      <c r="A22" s="22"/>
      <c r="B22" s="23"/>
      <c r="C22" s="24"/>
      <c r="D22" s="25"/>
      <c r="E22" s="26"/>
      <c r="G22" s="27"/>
    </row>
    <row r="23" spans="1:7" x14ac:dyDescent="0.3">
      <c r="A23" s="22"/>
      <c r="B23" s="23"/>
      <c r="C23" s="24"/>
      <c r="D23" s="25"/>
      <c r="E23" s="26"/>
      <c r="G23" s="27"/>
    </row>
    <row r="24" spans="1:7" x14ac:dyDescent="0.3">
      <c r="A24" s="22"/>
      <c r="B24" s="23"/>
      <c r="C24" s="24"/>
      <c r="D24" s="25"/>
      <c r="E24" s="26"/>
      <c r="G24" s="27"/>
    </row>
    <row r="25" spans="1:7" x14ac:dyDescent="0.3">
      <c r="A25" s="24"/>
      <c r="B25" s="23"/>
      <c r="C25" s="24"/>
      <c r="D25" s="28"/>
      <c r="E25" s="26"/>
      <c r="G25" s="27"/>
    </row>
    <row r="26" spans="1:7" x14ac:dyDescent="0.3">
      <c r="A26" s="28"/>
      <c r="B26" s="6"/>
      <c r="C26" s="28"/>
      <c r="D26" s="28"/>
      <c r="E26" s="5"/>
      <c r="F26" s="6"/>
      <c r="G26" s="6"/>
    </row>
    <row r="27" spans="1:7" x14ac:dyDescent="0.3">
      <c r="A27" s="28"/>
      <c r="B27" s="28"/>
      <c r="C27" s="28"/>
      <c r="D27" s="102" t="s">
        <v>16</v>
      </c>
      <c r="E27" s="63"/>
      <c r="F27" s="64"/>
      <c r="G27" s="18">
        <f>SUM(G16:G17)</f>
        <v>98325.806451612909</v>
      </c>
    </row>
    <row r="28" spans="1:7" x14ac:dyDescent="0.3">
      <c r="A28" s="21"/>
      <c r="B28" s="21"/>
      <c r="C28" s="21"/>
      <c r="D28" s="70" t="s">
        <v>17</v>
      </c>
      <c r="E28" s="70"/>
      <c r="F28" s="70"/>
      <c r="G28" s="18">
        <f>G27*5%</f>
        <v>4916.2903225806458</v>
      </c>
    </row>
    <row r="29" spans="1:7" x14ac:dyDescent="0.3">
      <c r="A29" s="90" t="s">
        <v>18</v>
      </c>
      <c r="B29" s="96"/>
      <c r="C29" s="97"/>
      <c r="D29" s="103"/>
      <c r="E29" s="96"/>
      <c r="F29" s="97"/>
      <c r="G29" s="29"/>
    </row>
    <row r="30" spans="1:7" ht="14.7" customHeight="1" x14ac:dyDescent="0.3">
      <c r="A30" s="104" t="s">
        <v>19</v>
      </c>
      <c r="B30" s="105"/>
      <c r="C30" s="105"/>
      <c r="D30" s="93" t="s">
        <v>20</v>
      </c>
      <c r="E30" s="94"/>
      <c r="F30" s="95"/>
      <c r="G30" s="30">
        <f>G27+G28</f>
        <v>103242.09677419356</v>
      </c>
    </row>
    <row r="31" spans="1:7" x14ac:dyDescent="0.3">
      <c r="A31" s="104" t="s">
        <v>21</v>
      </c>
      <c r="B31" s="105"/>
      <c r="C31" s="106"/>
      <c r="D31" s="31" t="s">
        <v>22</v>
      </c>
      <c r="E31" s="1"/>
      <c r="F31" s="2"/>
      <c r="G31" s="32">
        <f>G30*9%</f>
        <v>9291.7887096774193</v>
      </c>
    </row>
    <row r="32" spans="1:7" ht="14.7" customHeight="1" x14ac:dyDescent="0.3">
      <c r="A32" s="104" t="s">
        <v>23</v>
      </c>
      <c r="B32" s="105"/>
      <c r="C32" s="106"/>
      <c r="D32" s="107" t="s">
        <v>24</v>
      </c>
      <c r="E32" s="63"/>
      <c r="F32" s="64"/>
      <c r="G32" s="33">
        <f>G30*9%</f>
        <v>9291.7887096774193</v>
      </c>
    </row>
    <row r="33" spans="1:7" x14ac:dyDescent="0.3">
      <c r="A33" s="90" t="s">
        <v>25</v>
      </c>
      <c r="B33" s="91"/>
      <c r="C33" s="92"/>
      <c r="D33" s="90"/>
      <c r="E33" s="96"/>
      <c r="F33" s="97"/>
      <c r="G33" s="34"/>
    </row>
    <row r="34" spans="1:7" x14ac:dyDescent="0.3">
      <c r="A34" s="93"/>
      <c r="B34" s="94"/>
      <c r="C34" s="95"/>
      <c r="D34" s="93" t="s">
        <v>20</v>
      </c>
      <c r="E34" s="70"/>
      <c r="F34" s="69"/>
      <c r="G34" s="52">
        <f>SUM(G30:G32)</f>
        <v>121825.6741935484</v>
      </c>
    </row>
    <row r="35" spans="1:7" x14ac:dyDescent="0.3">
      <c r="A35" s="130" t="s">
        <v>61</v>
      </c>
      <c r="B35" s="131"/>
      <c r="C35" s="132"/>
      <c r="D35" s="94" t="s">
        <v>72</v>
      </c>
      <c r="E35" s="70"/>
      <c r="F35" s="69"/>
      <c r="G35" s="50">
        <v>0.67</v>
      </c>
    </row>
    <row r="36" spans="1:7" x14ac:dyDescent="0.3">
      <c r="A36" s="71" t="s">
        <v>73</v>
      </c>
      <c r="B36" s="72"/>
      <c r="C36" s="73"/>
      <c r="D36" s="93" t="s">
        <v>26</v>
      </c>
      <c r="E36" s="70"/>
      <c r="F36" s="69"/>
      <c r="G36" s="36">
        <f>G34-G35</f>
        <v>121825.0041935484</v>
      </c>
    </row>
    <row r="37" spans="1:7" x14ac:dyDescent="0.3">
      <c r="A37" s="78" t="s">
        <v>27</v>
      </c>
      <c r="B37" s="109"/>
      <c r="C37" s="110"/>
      <c r="D37" s="117" t="s">
        <v>28</v>
      </c>
      <c r="E37" s="118"/>
      <c r="F37" s="118"/>
      <c r="G37" s="119"/>
    </row>
    <row r="38" spans="1:7" x14ac:dyDescent="0.3">
      <c r="A38" s="111"/>
      <c r="B38" s="112"/>
      <c r="C38" s="113"/>
      <c r="D38" s="120"/>
      <c r="E38" s="121"/>
      <c r="F38" s="121"/>
      <c r="G38" s="122"/>
    </row>
    <row r="39" spans="1:7" x14ac:dyDescent="0.3">
      <c r="A39" s="111"/>
      <c r="B39" s="112"/>
      <c r="C39" s="113"/>
      <c r="D39" s="120"/>
      <c r="E39" s="121"/>
      <c r="F39" s="121"/>
      <c r="G39" s="122"/>
    </row>
    <row r="40" spans="1:7" ht="14.4" customHeight="1" x14ac:dyDescent="0.3">
      <c r="A40" s="111"/>
      <c r="B40" s="112"/>
      <c r="C40" s="113"/>
      <c r="D40" s="120"/>
      <c r="E40" s="121"/>
      <c r="F40" s="121"/>
      <c r="G40" s="122"/>
    </row>
    <row r="41" spans="1:7" ht="14.4" customHeight="1" x14ac:dyDescent="0.3">
      <c r="A41" s="114"/>
      <c r="B41" s="115"/>
      <c r="C41" s="116"/>
      <c r="D41" s="123"/>
      <c r="E41" s="124"/>
      <c r="F41" s="124"/>
      <c r="G41" s="125"/>
    </row>
    <row r="43" spans="1:7" ht="14.4" customHeight="1" x14ac:dyDescent="0.3"/>
    <row r="44" spans="1:7" ht="14.4" customHeight="1" x14ac:dyDescent="0.3"/>
    <row r="45" spans="1:7" ht="14.4" customHeight="1" x14ac:dyDescent="0.3"/>
  </sheetData>
  <mergeCells count="41">
    <mergeCell ref="A35:C35"/>
    <mergeCell ref="D35:F35"/>
    <mergeCell ref="A36:C36"/>
    <mergeCell ref="D36:F36"/>
    <mergeCell ref="A37:C41"/>
    <mergeCell ref="D37:G41"/>
    <mergeCell ref="A33:C34"/>
    <mergeCell ref="D33:F33"/>
    <mergeCell ref="C16:C17"/>
    <mergeCell ref="D16:D17"/>
    <mergeCell ref="D27:F27"/>
    <mergeCell ref="D28:F28"/>
    <mergeCell ref="A29:C29"/>
    <mergeCell ref="D29:F29"/>
    <mergeCell ref="A30:C30"/>
    <mergeCell ref="D30:F30"/>
    <mergeCell ref="A31:C31"/>
    <mergeCell ref="A32:C32"/>
    <mergeCell ref="D32:F32"/>
    <mergeCell ref="D34:F34"/>
    <mergeCell ref="A12:G13"/>
    <mergeCell ref="A14:A15"/>
    <mergeCell ref="B14:B15"/>
    <mergeCell ref="C14:C15"/>
    <mergeCell ref="D14:D15"/>
    <mergeCell ref="E14:E15"/>
    <mergeCell ref="F14:F15"/>
    <mergeCell ref="G14:G15"/>
    <mergeCell ref="A11:E11"/>
    <mergeCell ref="F11:G11"/>
    <mergeCell ref="A1:E1"/>
    <mergeCell ref="F1:G1"/>
    <mergeCell ref="A2:E2"/>
    <mergeCell ref="A3:E3"/>
    <mergeCell ref="F3:G3"/>
    <mergeCell ref="A4:E4"/>
    <mergeCell ref="A5:E5"/>
    <mergeCell ref="A7:E7"/>
    <mergeCell ref="F7:G7"/>
    <mergeCell ref="A8:E8"/>
    <mergeCell ref="F9:G9"/>
  </mergeCells>
  <pageMargins left="0.7" right="0.7" top="0.75" bottom="0.75" header="0.3" footer="0.3"/>
  <pageSetup paperSize="9" scale="88" fitToHeight="0" orientation="portrait" horizontalDpi="4294967293" r:id="rId1"/>
  <headerFooter>
    <oddHeader xml:space="preserve">&amp;CPROFORMA  INVOICE
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5D357-E1A2-4A85-9C16-76DD6381A600}">
  <sheetPr>
    <pageSetUpPr fitToPage="1"/>
  </sheetPr>
  <dimension ref="A1:G45"/>
  <sheetViews>
    <sheetView view="pageLayout" zoomScale="86" zoomScaleNormal="100" zoomScalePageLayoutView="86" workbookViewId="0">
      <selection activeCell="G6" sqref="G6"/>
    </sheetView>
  </sheetViews>
  <sheetFormatPr defaultRowHeight="14.4" x14ac:dyDescent="0.3"/>
  <cols>
    <col min="1" max="1" width="5.33203125" customWidth="1"/>
    <col min="2" max="2" width="32.109375" customWidth="1"/>
    <col min="3" max="3" width="7" customWidth="1"/>
    <col min="4" max="4" width="8.88671875" customWidth="1"/>
    <col min="5" max="5" width="10.44140625" customWidth="1"/>
    <col min="6" max="6" width="9.109375" customWidth="1"/>
    <col min="7" max="7" width="25.5546875" customWidth="1"/>
  </cols>
  <sheetData>
    <row r="1" spans="1:7" ht="23.4" x14ac:dyDescent="0.45">
      <c r="A1" s="126" t="s">
        <v>0</v>
      </c>
      <c r="B1" s="127"/>
      <c r="C1" s="127"/>
      <c r="D1" s="127"/>
      <c r="E1" s="127"/>
      <c r="F1" s="63"/>
      <c r="G1" s="64"/>
    </row>
    <row r="2" spans="1:7" x14ac:dyDescent="0.3">
      <c r="A2" s="65" t="s">
        <v>30</v>
      </c>
      <c r="B2" s="66"/>
      <c r="C2" s="66"/>
      <c r="D2" s="66"/>
      <c r="E2" s="67"/>
      <c r="F2" s="3"/>
      <c r="G2" s="4"/>
    </row>
    <row r="3" spans="1:7" x14ac:dyDescent="0.3">
      <c r="A3" s="65" t="s">
        <v>1</v>
      </c>
      <c r="B3" s="66"/>
      <c r="C3" s="66"/>
      <c r="D3" s="66"/>
      <c r="E3" s="67"/>
      <c r="F3" s="68" t="s">
        <v>75</v>
      </c>
      <c r="G3" s="69"/>
    </row>
    <row r="4" spans="1:7" x14ac:dyDescent="0.3">
      <c r="A4" s="68" t="s">
        <v>2</v>
      </c>
      <c r="B4" s="70"/>
      <c r="C4" s="70"/>
      <c r="D4" s="70"/>
      <c r="E4" s="70"/>
      <c r="F4" s="5" t="s">
        <v>76</v>
      </c>
      <c r="G4" s="6"/>
    </row>
    <row r="5" spans="1:7" x14ac:dyDescent="0.3">
      <c r="A5" s="68" t="s">
        <v>3</v>
      </c>
      <c r="B5" s="70"/>
      <c r="C5" s="70"/>
      <c r="D5" s="70"/>
      <c r="E5" s="70"/>
      <c r="F5" s="7"/>
      <c r="G5" s="45"/>
    </row>
    <row r="6" spans="1:7" x14ac:dyDescent="0.3">
      <c r="A6" s="7" t="s">
        <v>4</v>
      </c>
      <c r="B6" s="8"/>
      <c r="C6" s="8"/>
      <c r="D6" s="8"/>
      <c r="E6" s="8"/>
      <c r="F6" s="5"/>
      <c r="G6" s="6"/>
    </row>
    <row r="7" spans="1:7" ht="15" customHeight="1" x14ac:dyDescent="0.3">
      <c r="A7" s="71" t="s">
        <v>5</v>
      </c>
      <c r="B7" s="72"/>
      <c r="C7" s="72"/>
      <c r="D7" s="72"/>
      <c r="E7" s="72"/>
      <c r="F7" s="71" t="s">
        <v>54</v>
      </c>
      <c r="G7" s="73"/>
    </row>
    <row r="8" spans="1:7" ht="15" customHeight="1" x14ac:dyDescent="0.3">
      <c r="A8" s="74" t="s">
        <v>6</v>
      </c>
      <c r="B8" s="75"/>
      <c r="C8" s="75"/>
      <c r="D8" s="75"/>
      <c r="E8" s="75"/>
      <c r="F8" s="9" t="s">
        <v>7</v>
      </c>
      <c r="G8" s="10"/>
    </row>
    <row r="9" spans="1:7" x14ac:dyDescent="0.3">
      <c r="A9" s="11" t="s">
        <v>31</v>
      </c>
      <c r="B9" s="12"/>
      <c r="C9" s="12"/>
      <c r="D9" s="12"/>
      <c r="E9" s="12"/>
      <c r="F9" s="128" t="s">
        <v>32</v>
      </c>
      <c r="G9" s="129"/>
    </row>
    <row r="10" spans="1:7" x14ac:dyDescent="0.3">
      <c r="A10" s="13" t="s">
        <v>33</v>
      </c>
      <c r="B10" s="14"/>
      <c r="C10" s="14"/>
      <c r="D10" s="14"/>
      <c r="E10" s="14"/>
      <c r="F10" s="3" t="s">
        <v>8</v>
      </c>
      <c r="G10" s="4"/>
    </row>
    <row r="11" spans="1:7" ht="15" customHeight="1" x14ac:dyDescent="0.3">
      <c r="A11" s="57" t="s">
        <v>34</v>
      </c>
      <c r="B11" s="58"/>
      <c r="C11" s="58"/>
      <c r="D11" s="58"/>
      <c r="E11" s="58"/>
      <c r="F11" s="59" t="s">
        <v>35</v>
      </c>
      <c r="G11" s="60"/>
    </row>
    <row r="12" spans="1:7" ht="14.4" customHeight="1" x14ac:dyDescent="0.3">
      <c r="A12" s="78" t="s">
        <v>29</v>
      </c>
      <c r="B12" s="79"/>
      <c r="C12" s="79"/>
      <c r="D12" s="79"/>
      <c r="E12" s="79"/>
      <c r="F12" s="79"/>
      <c r="G12" s="80"/>
    </row>
    <row r="13" spans="1:7" x14ac:dyDescent="0.3">
      <c r="A13" s="81"/>
      <c r="B13" s="82"/>
      <c r="C13" s="82"/>
      <c r="D13" s="82"/>
      <c r="E13" s="82"/>
      <c r="F13" s="82"/>
      <c r="G13" s="83"/>
    </row>
    <row r="14" spans="1:7" ht="14.4" customHeight="1" x14ac:dyDescent="0.3">
      <c r="A14" s="84" t="s">
        <v>9</v>
      </c>
      <c r="B14" s="84" t="s">
        <v>10</v>
      </c>
      <c r="C14" s="86" t="s">
        <v>36</v>
      </c>
      <c r="D14" s="87" t="s">
        <v>11</v>
      </c>
      <c r="E14" s="86" t="s">
        <v>39</v>
      </c>
      <c r="F14" s="87" t="s">
        <v>12</v>
      </c>
      <c r="G14" s="87" t="s">
        <v>13</v>
      </c>
    </row>
    <row r="15" spans="1:7" x14ac:dyDescent="0.3">
      <c r="A15" s="85"/>
      <c r="B15" s="85"/>
      <c r="C15" s="85"/>
      <c r="D15" s="88"/>
      <c r="E15" s="85"/>
      <c r="F15" s="88"/>
      <c r="G15" s="88"/>
    </row>
    <row r="16" spans="1:7" x14ac:dyDescent="0.3">
      <c r="A16" s="15">
        <v>1</v>
      </c>
      <c r="B16" s="15" t="s">
        <v>14</v>
      </c>
      <c r="C16" s="98">
        <v>9985</v>
      </c>
      <c r="D16" s="100">
        <v>18700</v>
      </c>
      <c r="E16" s="16">
        <v>163</v>
      </c>
      <c r="F16" s="17">
        <v>6</v>
      </c>
      <c r="G16" s="18">
        <f>E16*(D16/31)</f>
        <v>98325.806451612909</v>
      </c>
    </row>
    <row r="17" spans="1:7" x14ac:dyDescent="0.3">
      <c r="A17" s="19">
        <v>2</v>
      </c>
      <c r="B17" s="19" t="s">
        <v>15</v>
      </c>
      <c r="C17" s="99"/>
      <c r="D17" s="101"/>
      <c r="E17" s="20">
        <v>0</v>
      </c>
      <c r="F17" s="21"/>
      <c r="G17" s="18">
        <f>E17*(13500/30/9)</f>
        <v>0</v>
      </c>
    </row>
    <row r="18" spans="1:7" x14ac:dyDescent="0.3">
      <c r="A18" s="22"/>
      <c r="B18" s="23"/>
      <c r="C18" s="24"/>
      <c r="D18" s="25"/>
      <c r="E18" s="26"/>
      <c r="F18" s="6"/>
      <c r="G18" s="34"/>
    </row>
    <row r="19" spans="1:7" x14ac:dyDescent="0.3">
      <c r="A19" s="22"/>
      <c r="B19" s="23"/>
      <c r="C19" s="24"/>
      <c r="D19" s="25"/>
      <c r="E19" s="26"/>
      <c r="G19" s="27"/>
    </row>
    <row r="20" spans="1:7" x14ac:dyDescent="0.3">
      <c r="A20" s="22"/>
      <c r="B20" s="23"/>
      <c r="C20" s="24"/>
      <c r="D20" s="25"/>
      <c r="E20" s="26"/>
      <c r="G20" s="27"/>
    </row>
    <row r="21" spans="1:7" x14ac:dyDescent="0.3">
      <c r="A21" s="22"/>
      <c r="B21" s="23"/>
      <c r="C21" s="24"/>
      <c r="D21" s="25"/>
      <c r="E21" s="26"/>
      <c r="G21" s="27" t="s">
        <v>53</v>
      </c>
    </row>
    <row r="22" spans="1:7" x14ac:dyDescent="0.3">
      <c r="A22" s="22"/>
      <c r="B22" s="23"/>
      <c r="C22" s="24"/>
      <c r="D22" s="25"/>
      <c r="E22" s="26"/>
      <c r="G22" s="27"/>
    </row>
    <row r="23" spans="1:7" x14ac:dyDescent="0.3">
      <c r="A23" s="22"/>
      <c r="B23" s="23"/>
      <c r="C23" s="24"/>
      <c r="D23" s="25"/>
      <c r="E23" s="26"/>
      <c r="G23" s="27"/>
    </row>
    <row r="24" spans="1:7" x14ac:dyDescent="0.3">
      <c r="A24" s="22"/>
      <c r="B24" s="23"/>
      <c r="C24" s="24"/>
      <c r="D24" s="25"/>
      <c r="E24" s="26"/>
      <c r="G24" s="27"/>
    </row>
    <row r="25" spans="1:7" x14ac:dyDescent="0.3">
      <c r="A25" s="24"/>
      <c r="B25" s="23"/>
      <c r="C25" s="24"/>
      <c r="D25" s="28"/>
      <c r="E25" s="26"/>
      <c r="G25" s="27"/>
    </row>
    <row r="26" spans="1:7" x14ac:dyDescent="0.3">
      <c r="A26" s="28"/>
      <c r="B26" s="6"/>
      <c r="C26" s="28"/>
      <c r="D26" s="28"/>
      <c r="E26" s="5"/>
      <c r="F26" s="6"/>
      <c r="G26" s="6"/>
    </row>
    <row r="27" spans="1:7" x14ac:dyDescent="0.3">
      <c r="A27" s="28"/>
      <c r="B27" s="28"/>
      <c r="C27" s="28"/>
      <c r="D27" s="102" t="s">
        <v>16</v>
      </c>
      <c r="E27" s="63"/>
      <c r="F27" s="64"/>
      <c r="G27" s="18">
        <f>SUM(G16:G17)</f>
        <v>98325.806451612909</v>
      </c>
    </row>
    <row r="28" spans="1:7" x14ac:dyDescent="0.3">
      <c r="A28" s="21"/>
      <c r="B28" s="21"/>
      <c r="C28" s="21"/>
      <c r="D28" s="70" t="s">
        <v>17</v>
      </c>
      <c r="E28" s="70"/>
      <c r="F28" s="70"/>
      <c r="G28" s="18">
        <f>G27*5%</f>
        <v>4916.2903225806458</v>
      </c>
    </row>
    <row r="29" spans="1:7" x14ac:dyDescent="0.3">
      <c r="A29" s="90" t="s">
        <v>18</v>
      </c>
      <c r="B29" s="96"/>
      <c r="C29" s="97"/>
      <c r="D29" s="103"/>
      <c r="E29" s="96"/>
      <c r="F29" s="97"/>
      <c r="G29" s="29"/>
    </row>
    <row r="30" spans="1:7" ht="14.7" customHeight="1" x14ac:dyDescent="0.3">
      <c r="A30" s="104" t="s">
        <v>19</v>
      </c>
      <c r="B30" s="105"/>
      <c r="C30" s="105"/>
      <c r="D30" s="93" t="s">
        <v>20</v>
      </c>
      <c r="E30" s="94"/>
      <c r="F30" s="95"/>
      <c r="G30" s="30">
        <f>G27+G28</f>
        <v>103242.09677419356</v>
      </c>
    </row>
    <row r="31" spans="1:7" x14ac:dyDescent="0.3">
      <c r="A31" s="104" t="s">
        <v>21</v>
      </c>
      <c r="B31" s="105"/>
      <c r="C31" s="106"/>
      <c r="D31" s="31" t="s">
        <v>22</v>
      </c>
      <c r="E31" s="1"/>
      <c r="F31" s="2"/>
      <c r="G31" s="32">
        <f>G30*9%</f>
        <v>9291.7887096774193</v>
      </c>
    </row>
    <row r="32" spans="1:7" ht="14.7" customHeight="1" x14ac:dyDescent="0.3">
      <c r="A32" s="104" t="s">
        <v>23</v>
      </c>
      <c r="B32" s="105"/>
      <c r="C32" s="106"/>
      <c r="D32" s="107" t="s">
        <v>24</v>
      </c>
      <c r="E32" s="63"/>
      <c r="F32" s="64"/>
      <c r="G32" s="33">
        <f>G30*9%</f>
        <v>9291.7887096774193</v>
      </c>
    </row>
    <row r="33" spans="1:7" x14ac:dyDescent="0.3">
      <c r="A33" s="90" t="s">
        <v>25</v>
      </c>
      <c r="B33" s="91"/>
      <c r="C33" s="92"/>
      <c r="D33" s="90"/>
      <c r="E33" s="96"/>
      <c r="F33" s="97"/>
      <c r="G33" s="34"/>
    </row>
    <row r="34" spans="1:7" x14ac:dyDescent="0.3">
      <c r="A34" s="93"/>
      <c r="B34" s="94"/>
      <c r="C34" s="95"/>
      <c r="D34" s="93" t="s">
        <v>20</v>
      </c>
      <c r="E34" s="70"/>
      <c r="F34" s="69"/>
      <c r="G34" s="52">
        <f>SUM(G30:G32)</f>
        <v>121825.6741935484</v>
      </c>
    </row>
    <row r="35" spans="1:7" x14ac:dyDescent="0.3">
      <c r="A35" s="130" t="s">
        <v>61</v>
      </c>
      <c r="B35" s="131"/>
      <c r="C35" s="132"/>
      <c r="D35" s="94" t="s">
        <v>72</v>
      </c>
      <c r="E35" s="70"/>
      <c r="F35" s="69"/>
      <c r="G35" s="50">
        <v>0.67</v>
      </c>
    </row>
    <row r="36" spans="1:7" x14ac:dyDescent="0.3">
      <c r="A36" s="71" t="s">
        <v>73</v>
      </c>
      <c r="B36" s="72"/>
      <c r="C36" s="73"/>
      <c r="D36" s="93" t="s">
        <v>26</v>
      </c>
      <c r="E36" s="70"/>
      <c r="F36" s="69"/>
      <c r="G36" s="36">
        <f>G34-G35</f>
        <v>121825.0041935484</v>
      </c>
    </row>
    <row r="37" spans="1:7" x14ac:dyDescent="0.3">
      <c r="A37" s="78" t="s">
        <v>27</v>
      </c>
      <c r="B37" s="109"/>
      <c r="C37" s="110"/>
      <c r="D37" s="117" t="s">
        <v>28</v>
      </c>
      <c r="E37" s="118"/>
      <c r="F37" s="118"/>
      <c r="G37" s="119"/>
    </row>
    <row r="38" spans="1:7" x14ac:dyDescent="0.3">
      <c r="A38" s="111"/>
      <c r="B38" s="112"/>
      <c r="C38" s="113"/>
      <c r="D38" s="120"/>
      <c r="E38" s="121"/>
      <c r="F38" s="121"/>
      <c r="G38" s="122"/>
    </row>
    <row r="39" spans="1:7" x14ac:dyDescent="0.3">
      <c r="A39" s="111"/>
      <c r="B39" s="112"/>
      <c r="C39" s="113"/>
      <c r="D39" s="120"/>
      <c r="E39" s="121"/>
      <c r="F39" s="121"/>
      <c r="G39" s="122"/>
    </row>
    <row r="40" spans="1:7" ht="14.4" customHeight="1" x14ac:dyDescent="0.3">
      <c r="A40" s="111"/>
      <c r="B40" s="112"/>
      <c r="C40" s="113"/>
      <c r="D40" s="120"/>
      <c r="E40" s="121"/>
      <c r="F40" s="121"/>
      <c r="G40" s="122"/>
    </row>
    <row r="41" spans="1:7" ht="14.4" customHeight="1" x14ac:dyDescent="0.3">
      <c r="A41" s="114"/>
      <c r="B41" s="115"/>
      <c r="C41" s="116"/>
      <c r="D41" s="123"/>
      <c r="E41" s="124"/>
      <c r="F41" s="124"/>
      <c r="G41" s="125"/>
    </row>
    <row r="43" spans="1:7" ht="14.4" customHeight="1" x14ac:dyDescent="0.3"/>
    <row r="44" spans="1:7" ht="14.4" customHeight="1" x14ac:dyDescent="0.3"/>
    <row r="45" spans="1:7" ht="14.4" customHeight="1" x14ac:dyDescent="0.3"/>
  </sheetData>
  <mergeCells count="41">
    <mergeCell ref="A35:C35"/>
    <mergeCell ref="D35:F35"/>
    <mergeCell ref="A36:C36"/>
    <mergeCell ref="D36:F36"/>
    <mergeCell ref="A37:C41"/>
    <mergeCell ref="D37:G41"/>
    <mergeCell ref="A33:C34"/>
    <mergeCell ref="D33:F33"/>
    <mergeCell ref="D34:F34"/>
    <mergeCell ref="C16:C17"/>
    <mergeCell ref="D16:D17"/>
    <mergeCell ref="D27:F27"/>
    <mergeCell ref="D28:F28"/>
    <mergeCell ref="A29:C29"/>
    <mergeCell ref="D29:F29"/>
    <mergeCell ref="A30:C30"/>
    <mergeCell ref="D30:F30"/>
    <mergeCell ref="A31:C31"/>
    <mergeCell ref="A32:C32"/>
    <mergeCell ref="D32:F32"/>
    <mergeCell ref="A12:G13"/>
    <mergeCell ref="A14:A15"/>
    <mergeCell ref="B14:B15"/>
    <mergeCell ref="C14:C15"/>
    <mergeCell ref="D14:D15"/>
    <mergeCell ref="E14:E15"/>
    <mergeCell ref="F14:F15"/>
    <mergeCell ref="G14:G15"/>
    <mergeCell ref="A11:E11"/>
    <mergeCell ref="F11:G11"/>
    <mergeCell ref="A1:E1"/>
    <mergeCell ref="F1:G1"/>
    <mergeCell ref="A2:E2"/>
    <mergeCell ref="A3:E3"/>
    <mergeCell ref="F3:G3"/>
    <mergeCell ref="A4:E4"/>
    <mergeCell ref="A5:E5"/>
    <mergeCell ref="A7:E7"/>
    <mergeCell ref="F7:G7"/>
    <mergeCell ref="A8:E8"/>
    <mergeCell ref="F9:G9"/>
  </mergeCells>
  <pageMargins left="0.7" right="0.7" top="0.75" bottom="0.75" header="0.3" footer="0.3"/>
  <pageSetup paperSize="9" scale="88" fitToHeight="0" orientation="portrait" horizontalDpi="4294967293" r:id="rId1"/>
  <headerFooter>
    <oddHeader xml:space="preserve">&amp;CTAX  INVOICE
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2999-4D60-484C-B262-C8EC713ECC9A}">
  <sheetPr>
    <pageSetUpPr fitToPage="1"/>
  </sheetPr>
  <dimension ref="A1:G47"/>
  <sheetViews>
    <sheetView view="pageLayout" topLeftCell="A5" zoomScale="119" zoomScaleNormal="100" zoomScalePageLayoutView="119" workbookViewId="0">
      <selection activeCell="F11" sqref="F11:G11"/>
    </sheetView>
  </sheetViews>
  <sheetFormatPr defaultRowHeight="14.4" x14ac:dyDescent="0.3"/>
  <cols>
    <col min="1" max="1" width="3.6640625" customWidth="1"/>
    <col min="2" max="2" width="29.21875" customWidth="1"/>
    <col min="3" max="3" width="8.6640625" customWidth="1"/>
    <col min="4" max="4" width="7.5546875" customWidth="1"/>
    <col min="5" max="5" width="8.88671875" customWidth="1"/>
    <col min="6" max="6" width="13.5546875" customWidth="1"/>
    <col min="7" max="7" width="22.33203125" customWidth="1"/>
    <col min="8" max="8" width="11.44140625" bestFit="1" customWidth="1"/>
  </cols>
  <sheetData>
    <row r="1" spans="1:7" ht="23.4" x14ac:dyDescent="0.45">
      <c r="A1" s="126" t="s">
        <v>0</v>
      </c>
      <c r="B1" s="127"/>
      <c r="C1" s="127"/>
      <c r="D1" s="127"/>
      <c r="E1" s="127"/>
      <c r="F1" s="63"/>
      <c r="G1" s="64"/>
    </row>
    <row r="2" spans="1:7" x14ac:dyDescent="0.3">
      <c r="A2" s="65" t="s">
        <v>30</v>
      </c>
      <c r="B2" s="66"/>
      <c r="C2" s="66"/>
      <c r="D2" s="66"/>
      <c r="E2" s="67"/>
      <c r="F2" s="3"/>
      <c r="G2" s="4"/>
    </row>
    <row r="3" spans="1:7" x14ac:dyDescent="0.3">
      <c r="A3" s="65" t="s">
        <v>1</v>
      </c>
      <c r="B3" s="66"/>
      <c r="C3" s="66"/>
      <c r="D3" s="66"/>
      <c r="E3" s="67"/>
      <c r="F3" s="68" t="s">
        <v>77</v>
      </c>
      <c r="G3" s="69"/>
    </row>
    <row r="4" spans="1:7" x14ac:dyDescent="0.3">
      <c r="A4" s="68" t="s">
        <v>2</v>
      </c>
      <c r="B4" s="70"/>
      <c r="C4" s="70"/>
      <c r="D4" s="70"/>
      <c r="E4" s="70"/>
      <c r="F4" s="5" t="s">
        <v>86</v>
      </c>
      <c r="G4" s="6"/>
    </row>
    <row r="5" spans="1:7" x14ac:dyDescent="0.3">
      <c r="A5" s="68" t="s">
        <v>3</v>
      </c>
      <c r="B5" s="70"/>
      <c r="C5" s="70"/>
      <c r="D5" s="70"/>
      <c r="E5" s="70"/>
      <c r="F5" s="7"/>
      <c r="G5" s="45"/>
    </row>
    <row r="6" spans="1:7" x14ac:dyDescent="0.3">
      <c r="A6" s="7" t="s">
        <v>4</v>
      </c>
      <c r="B6" s="8"/>
      <c r="C6" s="8"/>
      <c r="D6" s="8"/>
      <c r="E6" s="8"/>
      <c r="F6" s="5"/>
      <c r="G6" s="6"/>
    </row>
    <row r="7" spans="1:7" x14ac:dyDescent="0.3">
      <c r="A7" s="71" t="s">
        <v>5</v>
      </c>
      <c r="B7" s="72"/>
      <c r="C7" s="72"/>
      <c r="D7" s="72"/>
      <c r="E7" s="72"/>
      <c r="F7" s="71" t="s">
        <v>78</v>
      </c>
      <c r="G7" s="73"/>
    </row>
    <row r="8" spans="1:7" x14ac:dyDescent="0.3">
      <c r="A8" s="133" t="s">
        <v>43</v>
      </c>
      <c r="B8" s="134"/>
      <c r="C8" s="134"/>
      <c r="D8" s="134"/>
      <c r="E8" s="134"/>
      <c r="F8" s="9"/>
      <c r="G8" s="10"/>
    </row>
    <row r="9" spans="1:7" x14ac:dyDescent="0.3">
      <c r="A9" s="37" t="s">
        <v>44</v>
      </c>
      <c r="B9" s="12"/>
      <c r="C9" s="12"/>
      <c r="D9" s="12"/>
      <c r="E9" s="12"/>
      <c r="F9" s="104" t="s">
        <v>82</v>
      </c>
      <c r="G9" s="106"/>
    </row>
    <row r="10" spans="1:7" x14ac:dyDescent="0.3">
      <c r="A10" s="13" t="s">
        <v>45</v>
      </c>
      <c r="B10" s="14"/>
      <c r="C10" s="14"/>
      <c r="D10" s="14"/>
      <c r="E10" s="14"/>
      <c r="F10" s="68" t="s">
        <v>83</v>
      </c>
      <c r="G10" s="69"/>
    </row>
    <row r="11" spans="1:7" x14ac:dyDescent="0.3">
      <c r="A11" s="38" t="s">
        <v>46</v>
      </c>
      <c r="B11" s="39"/>
      <c r="C11" s="39"/>
      <c r="D11" s="39"/>
      <c r="E11" s="39"/>
      <c r="F11" s="135" t="s">
        <v>84</v>
      </c>
      <c r="G11" s="136"/>
    </row>
    <row r="12" spans="1:7" x14ac:dyDescent="0.3">
      <c r="A12" s="40" t="s">
        <v>47</v>
      </c>
      <c r="B12" s="41"/>
      <c r="C12" s="41"/>
      <c r="D12" s="41"/>
      <c r="E12" s="41"/>
      <c r="F12" s="59"/>
      <c r="G12" s="60"/>
    </row>
    <row r="13" spans="1:7" ht="14.4" customHeight="1" x14ac:dyDescent="0.3">
      <c r="A13" s="78" t="s">
        <v>29</v>
      </c>
      <c r="B13" s="79"/>
      <c r="C13" s="79"/>
      <c r="D13" s="79"/>
      <c r="E13" s="79"/>
      <c r="F13" s="79"/>
      <c r="G13" s="80"/>
    </row>
    <row r="14" spans="1:7" x14ac:dyDescent="0.3">
      <c r="A14" s="81"/>
      <c r="B14" s="82"/>
      <c r="C14" s="82"/>
      <c r="D14" s="82"/>
      <c r="E14" s="82"/>
      <c r="F14" s="82"/>
      <c r="G14" s="83"/>
    </row>
    <row r="15" spans="1:7" ht="14.4" customHeight="1" x14ac:dyDescent="0.3">
      <c r="A15" s="86" t="s">
        <v>85</v>
      </c>
      <c r="B15" s="84" t="s">
        <v>10</v>
      </c>
      <c r="C15" s="84" t="s">
        <v>48</v>
      </c>
      <c r="D15" s="84" t="s">
        <v>11</v>
      </c>
      <c r="E15" s="86" t="s">
        <v>49</v>
      </c>
      <c r="F15" s="84" t="s">
        <v>12</v>
      </c>
      <c r="G15" s="42" t="s">
        <v>13</v>
      </c>
    </row>
    <row r="16" spans="1:7" x14ac:dyDescent="0.3">
      <c r="A16" s="85"/>
      <c r="B16" s="85"/>
      <c r="C16" s="85"/>
      <c r="D16" s="85"/>
      <c r="E16" s="89"/>
      <c r="F16" s="85"/>
      <c r="G16" s="43"/>
    </row>
    <row r="17" spans="1:7" x14ac:dyDescent="0.3">
      <c r="A17" s="15">
        <v>1</v>
      </c>
      <c r="B17" s="15" t="s">
        <v>79</v>
      </c>
      <c r="C17" s="98">
        <v>9985</v>
      </c>
      <c r="D17" s="100">
        <v>25000</v>
      </c>
      <c r="E17" s="16">
        <v>31</v>
      </c>
      <c r="F17" s="17">
        <v>2</v>
      </c>
      <c r="G17" s="18">
        <f>E17*(D17/30)</f>
        <v>25833.333333333336</v>
      </c>
    </row>
    <row r="18" spans="1:7" x14ac:dyDescent="0.3">
      <c r="A18" s="19">
        <v>2</v>
      </c>
      <c r="B18" s="19" t="s">
        <v>80</v>
      </c>
      <c r="C18" s="99"/>
      <c r="D18" s="101"/>
      <c r="E18" s="20">
        <v>0</v>
      </c>
      <c r="F18" s="21"/>
      <c r="G18" s="18">
        <f>E18*(D17/30/9)</f>
        <v>0</v>
      </c>
    </row>
    <row r="19" spans="1:7" x14ac:dyDescent="0.3">
      <c r="A19" s="3"/>
      <c r="B19" s="44"/>
      <c r="C19" s="3"/>
      <c r="D19" s="44"/>
      <c r="E19" s="3"/>
      <c r="F19" s="4"/>
      <c r="G19" s="4"/>
    </row>
    <row r="20" spans="1:7" x14ac:dyDescent="0.3">
      <c r="A20" s="5"/>
      <c r="B20" s="28"/>
      <c r="C20" s="5"/>
      <c r="D20" s="28"/>
      <c r="E20" s="5"/>
      <c r="F20" s="6"/>
      <c r="G20" s="6"/>
    </row>
    <row r="21" spans="1:7" x14ac:dyDescent="0.3">
      <c r="A21" s="22"/>
      <c r="B21" s="23"/>
      <c r="C21" s="24"/>
      <c r="D21" s="25"/>
      <c r="E21" s="26"/>
      <c r="G21" s="27"/>
    </row>
    <row r="22" spans="1:7" x14ac:dyDescent="0.3">
      <c r="A22" s="22"/>
      <c r="B22" s="23"/>
      <c r="C22" s="24"/>
      <c r="D22" s="25"/>
      <c r="E22" s="26"/>
      <c r="G22" s="27"/>
    </row>
    <row r="23" spans="1:7" x14ac:dyDescent="0.3">
      <c r="A23" s="22"/>
      <c r="B23" s="23"/>
      <c r="C23" s="24"/>
      <c r="D23" s="25"/>
      <c r="E23" s="26"/>
      <c r="G23" s="27"/>
    </row>
    <row r="24" spans="1:7" x14ac:dyDescent="0.3">
      <c r="A24" s="22"/>
      <c r="B24" s="23"/>
      <c r="C24" s="24"/>
      <c r="D24" s="25"/>
      <c r="E24" s="26"/>
      <c r="G24" s="27"/>
    </row>
    <row r="25" spans="1:7" x14ac:dyDescent="0.3">
      <c r="A25" s="22"/>
      <c r="B25" s="23"/>
      <c r="C25" s="24"/>
      <c r="D25" s="25"/>
      <c r="E25" s="26"/>
      <c r="G25" s="27"/>
    </row>
    <row r="26" spans="1:7" x14ac:dyDescent="0.3">
      <c r="A26" s="24"/>
      <c r="B26" s="23"/>
      <c r="C26" s="24"/>
      <c r="D26" s="28"/>
      <c r="E26" s="26"/>
      <c r="G26" s="27"/>
    </row>
    <row r="27" spans="1:7" x14ac:dyDescent="0.3">
      <c r="A27" s="28"/>
      <c r="B27" s="6"/>
      <c r="C27" s="28"/>
      <c r="D27" s="46" t="s">
        <v>16</v>
      </c>
      <c r="E27" s="1"/>
      <c r="F27" s="2"/>
      <c r="G27" s="18">
        <f>G16+G17</f>
        <v>25833.333333333336</v>
      </c>
    </row>
    <row r="28" spans="1:7" x14ac:dyDescent="0.3">
      <c r="A28" s="28"/>
      <c r="B28" s="28"/>
      <c r="C28" s="28"/>
      <c r="D28" s="102" t="s">
        <v>51</v>
      </c>
      <c r="E28" s="63"/>
      <c r="F28" s="64"/>
      <c r="G28" s="18">
        <f>G27*7%</f>
        <v>1808.3333333333337</v>
      </c>
    </row>
    <row r="29" spans="1:7" ht="15" customHeight="1" x14ac:dyDescent="0.3">
      <c r="A29" s="21"/>
      <c r="B29" s="21"/>
      <c r="C29" s="21"/>
      <c r="D29" s="70" t="s">
        <v>52</v>
      </c>
      <c r="E29" s="70"/>
      <c r="F29" s="70"/>
      <c r="G29" s="18">
        <v>0</v>
      </c>
    </row>
    <row r="30" spans="1:7" x14ac:dyDescent="0.3">
      <c r="A30" s="90" t="s">
        <v>18</v>
      </c>
      <c r="B30" s="96"/>
      <c r="C30" s="97"/>
      <c r="D30" s="103"/>
      <c r="E30" s="96"/>
      <c r="F30" s="97"/>
      <c r="G30" s="29" t="s">
        <v>50</v>
      </c>
    </row>
    <row r="31" spans="1:7" ht="14.7" customHeight="1" x14ac:dyDescent="0.3">
      <c r="A31" s="104" t="s">
        <v>19</v>
      </c>
      <c r="B31" s="105"/>
      <c r="C31" s="105"/>
      <c r="D31" s="93" t="s">
        <v>20</v>
      </c>
      <c r="E31" s="94"/>
      <c r="F31" s="95"/>
      <c r="G31" s="30">
        <f>G28+G29+G27</f>
        <v>27641.666666666668</v>
      </c>
    </row>
    <row r="32" spans="1:7" x14ac:dyDescent="0.3">
      <c r="A32" s="104" t="s">
        <v>21</v>
      </c>
      <c r="B32" s="105"/>
      <c r="C32" s="106"/>
      <c r="D32" s="31" t="s">
        <v>22</v>
      </c>
      <c r="E32" s="1"/>
      <c r="F32" s="2"/>
      <c r="G32" s="32">
        <f>G31*9%</f>
        <v>2487.75</v>
      </c>
    </row>
    <row r="33" spans="1:7" ht="14.7" customHeight="1" x14ac:dyDescent="0.3">
      <c r="A33" s="104" t="s">
        <v>23</v>
      </c>
      <c r="B33" s="105"/>
      <c r="C33" s="106"/>
      <c r="D33" s="107" t="s">
        <v>24</v>
      </c>
      <c r="E33" s="63"/>
      <c r="F33" s="64"/>
      <c r="G33" s="33">
        <f>G31*9%</f>
        <v>2487.75</v>
      </c>
    </row>
    <row r="34" spans="1:7" x14ac:dyDescent="0.3">
      <c r="A34" s="90" t="s">
        <v>25</v>
      </c>
      <c r="B34" s="91"/>
      <c r="C34" s="92"/>
      <c r="D34" s="90"/>
      <c r="E34" s="96"/>
      <c r="F34" s="97"/>
      <c r="G34" s="34"/>
    </row>
    <row r="35" spans="1:7" x14ac:dyDescent="0.3">
      <c r="A35" s="93"/>
      <c r="B35" s="94"/>
      <c r="C35" s="95"/>
      <c r="D35" s="93" t="s">
        <v>20</v>
      </c>
      <c r="E35" s="70"/>
      <c r="F35" s="69"/>
      <c r="G35" s="52">
        <f>SUM(G31:G33)</f>
        <v>32617.166666666668</v>
      </c>
    </row>
    <row r="36" spans="1:7" x14ac:dyDescent="0.3">
      <c r="A36" s="137" t="s">
        <v>81</v>
      </c>
      <c r="B36" s="138"/>
      <c r="C36" s="139"/>
      <c r="D36" s="94" t="s">
        <v>72</v>
      </c>
      <c r="E36" s="70"/>
      <c r="F36" s="69"/>
      <c r="G36" s="50">
        <v>0.17</v>
      </c>
    </row>
    <row r="37" spans="1:7" x14ac:dyDescent="0.3">
      <c r="A37" s="57"/>
      <c r="B37" s="58"/>
      <c r="C37" s="108"/>
      <c r="D37" s="93" t="s">
        <v>26</v>
      </c>
      <c r="E37" s="70"/>
      <c r="F37" s="69"/>
      <c r="G37" s="36">
        <f>G35-G36</f>
        <v>32616.99666666667</v>
      </c>
    </row>
    <row r="38" spans="1:7" ht="15" customHeight="1" x14ac:dyDescent="0.3">
      <c r="A38" s="78" t="s">
        <v>27</v>
      </c>
      <c r="B38" s="109"/>
      <c r="C38" s="110"/>
      <c r="D38" s="117" t="s">
        <v>42</v>
      </c>
      <c r="E38" s="118"/>
      <c r="F38" s="118"/>
      <c r="G38" s="119"/>
    </row>
    <row r="39" spans="1:7" x14ac:dyDescent="0.3">
      <c r="A39" s="111"/>
      <c r="B39" s="112"/>
      <c r="C39" s="113"/>
      <c r="D39" s="120"/>
      <c r="E39" s="121"/>
      <c r="F39" s="121"/>
      <c r="G39" s="122"/>
    </row>
    <row r="40" spans="1:7" ht="14.4" customHeight="1" x14ac:dyDescent="0.3">
      <c r="A40" s="111"/>
      <c r="B40" s="112"/>
      <c r="C40" s="113"/>
      <c r="D40" s="120"/>
      <c r="E40" s="121"/>
      <c r="F40" s="121"/>
      <c r="G40" s="122"/>
    </row>
    <row r="41" spans="1:7" ht="14.4" customHeight="1" x14ac:dyDescent="0.3">
      <c r="A41" s="111"/>
      <c r="B41" s="112"/>
      <c r="C41" s="113"/>
      <c r="D41" s="120"/>
      <c r="E41" s="121"/>
      <c r="F41" s="121"/>
      <c r="G41" s="122"/>
    </row>
    <row r="42" spans="1:7" ht="14.4" customHeight="1" x14ac:dyDescent="0.3">
      <c r="A42" s="111"/>
      <c r="B42" s="112"/>
      <c r="C42" s="113"/>
      <c r="D42" s="120"/>
      <c r="E42" s="121"/>
      <c r="F42" s="121"/>
      <c r="G42" s="122"/>
    </row>
    <row r="43" spans="1:7" ht="14.4" customHeight="1" x14ac:dyDescent="0.3">
      <c r="A43" s="114"/>
      <c r="B43" s="115"/>
      <c r="C43" s="116"/>
      <c r="D43" s="123"/>
      <c r="E43" s="124"/>
      <c r="F43" s="124"/>
      <c r="G43" s="125"/>
    </row>
    <row r="45" spans="1:7" ht="14.4" customHeight="1" x14ac:dyDescent="0.3"/>
    <row r="46" spans="1:7" ht="14.4" customHeight="1" x14ac:dyDescent="0.3"/>
    <row r="47" spans="1:7" ht="14.4" customHeight="1" x14ac:dyDescent="0.3"/>
  </sheetData>
  <mergeCells count="41">
    <mergeCell ref="A36:C36"/>
    <mergeCell ref="D36:F36"/>
    <mergeCell ref="A37:C37"/>
    <mergeCell ref="D37:F37"/>
    <mergeCell ref="A38:C43"/>
    <mergeCell ref="D38:G43"/>
    <mergeCell ref="A34:C35"/>
    <mergeCell ref="D34:F34"/>
    <mergeCell ref="D35:F35"/>
    <mergeCell ref="C17:C18"/>
    <mergeCell ref="D17:D18"/>
    <mergeCell ref="D28:F28"/>
    <mergeCell ref="D29:F29"/>
    <mergeCell ref="A30:C30"/>
    <mergeCell ref="D30:F30"/>
    <mergeCell ref="A31:C31"/>
    <mergeCell ref="D31:F31"/>
    <mergeCell ref="A32:C32"/>
    <mergeCell ref="A33:C33"/>
    <mergeCell ref="D33:F33"/>
    <mergeCell ref="F11:G11"/>
    <mergeCell ref="F12:G12"/>
    <mergeCell ref="A13:G14"/>
    <mergeCell ref="A15:A16"/>
    <mergeCell ref="B15:B16"/>
    <mergeCell ref="C15:C16"/>
    <mergeCell ref="D15:D16"/>
    <mergeCell ref="E15:E16"/>
    <mergeCell ref="F15:F16"/>
    <mergeCell ref="F10:G10"/>
    <mergeCell ref="A1:E1"/>
    <mergeCell ref="F1:G1"/>
    <mergeCell ref="A2:E2"/>
    <mergeCell ref="A3:E3"/>
    <mergeCell ref="F3:G3"/>
    <mergeCell ref="A4:E4"/>
    <mergeCell ref="A5:E5"/>
    <mergeCell ref="A7:E7"/>
    <mergeCell ref="F7:G7"/>
    <mergeCell ref="A8:E8"/>
    <mergeCell ref="F9:G9"/>
  </mergeCells>
  <pageMargins left="0.7" right="0.7" top="0.75" bottom="0.75" header="0.3" footer="0.3"/>
  <pageSetup paperSize="9" scale="93" fitToHeight="0" orientation="portrait" horizontalDpi="4294967293" r:id="rId1"/>
  <headerFooter>
    <oddHeader xml:space="preserve">&amp;CPROFORM INVOICE
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77FE-1E04-4B1A-97F9-7B046F85CDBB}">
  <sheetPr>
    <pageSetUpPr fitToPage="1"/>
  </sheetPr>
  <dimension ref="A1:G48"/>
  <sheetViews>
    <sheetView view="pageLayout" zoomScale="119" zoomScaleNormal="100" zoomScalePageLayoutView="119" workbookViewId="0">
      <selection activeCell="F11" sqref="F11:G11"/>
    </sheetView>
  </sheetViews>
  <sheetFormatPr defaultRowHeight="14.4" x14ac:dyDescent="0.3"/>
  <cols>
    <col min="1" max="1" width="3.6640625" customWidth="1"/>
    <col min="2" max="2" width="29.21875" customWidth="1"/>
    <col min="3" max="3" width="8.6640625" customWidth="1"/>
    <col min="4" max="4" width="7.5546875" customWidth="1"/>
    <col min="5" max="5" width="8.88671875" customWidth="1"/>
    <col min="6" max="6" width="13.5546875" customWidth="1"/>
    <col min="7" max="7" width="22.33203125" customWidth="1"/>
    <col min="8" max="8" width="11.44140625" bestFit="1" customWidth="1"/>
  </cols>
  <sheetData>
    <row r="1" spans="1:7" ht="23.4" x14ac:dyDescent="0.45">
      <c r="A1" s="126" t="s">
        <v>0</v>
      </c>
      <c r="B1" s="127"/>
      <c r="C1" s="127"/>
      <c r="D1" s="127"/>
      <c r="E1" s="127"/>
      <c r="F1" s="63"/>
      <c r="G1" s="64"/>
    </row>
    <row r="2" spans="1:7" x14ac:dyDescent="0.3">
      <c r="A2" s="65" t="s">
        <v>30</v>
      </c>
      <c r="B2" s="66"/>
      <c r="C2" s="66"/>
      <c r="D2" s="66"/>
      <c r="E2" s="67"/>
      <c r="F2" s="3"/>
      <c r="G2" s="4"/>
    </row>
    <row r="3" spans="1:7" x14ac:dyDescent="0.3">
      <c r="A3" s="65" t="s">
        <v>1</v>
      </c>
      <c r="B3" s="66"/>
      <c r="C3" s="66"/>
      <c r="D3" s="66"/>
      <c r="E3" s="67"/>
      <c r="F3" s="68" t="s">
        <v>77</v>
      </c>
      <c r="G3" s="69"/>
    </row>
    <row r="4" spans="1:7" x14ac:dyDescent="0.3">
      <c r="A4" s="68" t="s">
        <v>2</v>
      </c>
      <c r="B4" s="70"/>
      <c r="C4" s="70"/>
      <c r="D4" s="70"/>
      <c r="E4" s="70"/>
      <c r="F4" s="5" t="s">
        <v>86</v>
      </c>
      <c r="G4" s="6"/>
    </row>
    <row r="5" spans="1:7" x14ac:dyDescent="0.3">
      <c r="A5" s="68" t="s">
        <v>3</v>
      </c>
      <c r="B5" s="70"/>
      <c r="C5" s="70"/>
      <c r="D5" s="70"/>
      <c r="E5" s="70"/>
      <c r="F5" s="7"/>
      <c r="G5" s="45"/>
    </row>
    <row r="6" spans="1:7" x14ac:dyDescent="0.3">
      <c r="A6" s="7" t="s">
        <v>4</v>
      </c>
      <c r="B6" s="8"/>
      <c r="C6" s="8"/>
      <c r="D6" s="8"/>
      <c r="E6" s="8"/>
      <c r="F6" s="5"/>
      <c r="G6" s="6"/>
    </row>
    <row r="7" spans="1:7" x14ac:dyDescent="0.3">
      <c r="A7" s="71" t="s">
        <v>5</v>
      </c>
      <c r="B7" s="72"/>
      <c r="C7" s="72"/>
      <c r="D7" s="72"/>
      <c r="E7" s="72"/>
      <c r="F7" s="71" t="s">
        <v>78</v>
      </c>
      <c r="G7" s="73"/>
    </row>
    <row r="8" spans="1:7" x14ac:dyDescent="0.3">
      <c r="A8" s="133" t="s">
        <v>43</v>
      </c>
      <c r="B8" s="134"/>
      <c r="C8" s="134"/>
      <c r="D8" s="134"/>
      <c r="E8" s="134"/>
      <c r="F8" s="9"/>
      <c r="G8" s="10"/>
    </row>
    <row r="9" spans="1:7" x14ac:dyDescent="0.3">
      <c r="A9" s="54" t="s">
        <v>91</v>
      </c>
      <c r="B9" s="55"/>
      <c r="C9" s="55"/>
      <c r="D9" s="55"/>
      <c r="E9" s="55"/>
      <c r="F9" s="38"/>
      <c r="G9" s="56"/>
    </row>
    <row r="10" spans="1:7" x14ac:dyDescent="0.3">
      <c r="A10" s="37" t="s">
        <v>44</v>
      </c>
      <c r="B10" s="12"/>
      <c r="C10" s="12"/>
      <c r="D10" s="12"/>
      <c r="E10" s="12"/>
      <c r="F10" s="104" t="s">
        <v>82</v>
      </c>
      <c r="G10" s="106"/>
    </row>
    <row r="11" spans="1:7" x14ac:dyDescent="0.3">
      <c r="A11" s="13" t="s">
        <v>45</v>
      </c>
      <c r="B11" s="14"/>
      <c r="C11" s="14"/>
      <c r="D11" s="14"/>
      <c r="E11" s="14"/>
      <c r="F11" s="68" t="s">
        <v>83</v>
      </c>
      <c r="G11" s="69"/>
    </row>
    <row r="12" spans="1:7" x14ac:dyDescent="0.3">
      <c r="A12" s="38" t="s">
        <v>46</v>
      </c>
      <c r="B12" s="39"/>
      <c r="C12" s="39"/>
      <c r="D12" s="39"/>
      <c r="E12" s="39"/>
      <c r="F12" s="135" t="s">
        <v>84</v>
      </c>
      <c r="G12" s="136"/>
    </row>
    <row r="13" spans="1:7" x14ac:dyDescent="0.3">
      <c r="A13" s="40" t="s">
        <v>47</v>
      </c>
      <c r="B13" s="41"/>
      <c r="C13" s="41"/>
      <c r="D13" s="41"/>
      <c r="E13" s="41"/>
      <c r="F13" s="59"/>
      <c r="G13" s="60"/>
    </row>
    <row r="14" spans="1:7" ht="14.4" customHeight="1" x14ac:dyDescent="0.3">
      <c r="A14" s="78" t="s">
        <v>29</v>
      </c>
      <c r="B14" s="79"/>
      <c r="C14" s="79"/>
      <c r="D14" s="79"/>
      <c r="E14" s="79"/>
      <c r="F14" s="79"/>
      <c r="G14" s="80"/>
    </row>
    <row r="15" spans="1:7" x14ac:dyDescent="0.3">
      <c r="A15" s="81"/>
      <c r="B15" s="82"/>
      <c r="C15" s="82"/>
      <c r="D15" s="82"/>
      <c r="E15" s="82"/>
      <c r="F15" s="82"/>
      <c r="G15" s="83"/>
    </row>
    <row r="16" spans="1:7" ht="14.4" customHeight="1" x14ac:dyDescent="0.3">
      <c r="A16" s="86" t="s">
        <v>85</v>
      </c>
      <c r="B16" s="84" t="s">
        <v>10</v>
      </c>
      <c r="C16" s="84" t="s">
        <v>48</v>
      </c>
      <c r="D16" s="84" t="s">
        <v>11</v>
      </c>
      <c r="E16" s="86" t="s">
        <v>49</v>
      </c>
      <c r="F16" s="84" t="s">
        <v>12</v>
      </c>
      <c r="G16" s="42" t="s">
        <v>13</v>
      </c>
    </row>
    <row r="17" spans="1:7" x14ac:dyDescent="0.3">
      <c r="A17" s="85"/>
      <c r="B17" s="85"/>
      <c r="C17" s="85"/>
      <c r="D17" s="85"/>
      <c r="E17" s="89"/>
      <c r="F17" s="85"/>
      <c r="G17" s="43"/>
    </row>
    <row r="18" spans="1:7" x14ac:dyDescent="0.3">
      <c r="A18" s="15">
        <v>1</v>
      </c>
      <c r="B18" s="15" t="s">
        <v>79</v>
      </c>
      <c r="C18" s="98">
        <v>9985</v>
      </c>
      <c r="D18" s="100">
        <v>25000</v>
      </c>
      <c r="E18" s="16">
        <v>31</v>
      </c>
      <c r="F18" s="17">
        <v>2</v>
      </c>
      <c r="G18" s="18">
        <f>E18*(D18/30)</f>
        <v>25833.333333333336</v>
      </c>
    </row>
    <row r="19" spans="1:7" x14ac:dyDescent="0.3">
      <c r="A19" s="19">
        <v>2</v>
      </c>
      <c r="B19" s="19" t="s">
        <v>80</v>
      </c>
      <c r="C19" s="99"/>
      <c r="D19" s="101"/>
      <c r="E19" s="20">
        <v>0</v>
      </c>
      <c r="F19" s="21"/>
      <c r="G19" s="18">
        <f>E19*(D18/30/9)</f>
        <v>0</v>
      </c>
    </row>
    <row r="20" spans="1:7" x14ac:dyDescent="0.3">
      <c r="A20" s="3"/>
      <c r="B20" s="44"/>
      <c r="C20" s="3"/>
      <c r="D20" s="44"/>
      <c r="E20" s="3"/>
      <c r="F20" s="4"/>
      <c r="G20" s="4"/>
    </row>
    <row r="21" spans="1:7" x14ac:dyDescent="0.3">
      <c r="A21" s="5"/>
      <c r="B21" s="28"/>
      <c r="C21" s="5"/>
      <c r="D21" s="28"/>
      <c r="E21" s="5"/>
      <c r="F21" s="6"/>
      <c r="G21" s="6"/>
    </row>
    <row r="22" spans="1:7" x14ac:dyDescent="0.3">
      <c r="A22" s="22"/>
      <c r="B22" s="23"/>
      <c r="C22" s="24"/>
      <c r="D22" s="25"/>
      <c r="E22" s="26"/>
      <c r="G22" s="27"/>
    </row>
    <row r="23" spans="1:7" x14ac:dyDescent="0.3">
      <c r="A23" s="22"/>
      <c r="B23" s="23"/>
      <c r="C23" s="24"/>
      <c r="D23" s="25"/>
      <c r="E23" s="26"/>
      <c r="G23" s="27"/>
    </row>
    <row r="24" spans="1:7" x14ac:dyDescent="0.3">
      <c r="A24" s="22"/>
      <c r="B24" s="23"/>
      <c r="C24" s="24"/>
      <c r="D24" s="25"/>
      <c r="E24" s="26"/>
      <c r="G24" s="27"/>
    </row>
    <row r="25" spans="1:7" x14ac:dyDescent="0.3">
      <c r="A25" s="22"/>
      <c r="B25" s="23"/>
      <c r="C25" s="24"/>
      <c r="D25" s="25"/>
      <c r="E25" s="26"/>
      <c r="G25" s="27"/>
    </row>
    <row r="26" spans="1:7" x14ac:dyDescent="0.3">
      <c r="A26" s="22"/>
      <c r="B26" s="23"/>
      <c r="C26" s="24"/>
      <c r="D26" s="25"/>
      <c r="E26" s="26"/>
      <c r="G26" s="27"/>
    </row>
    <row r="27" spans="1:7" x14ac:dyDescent="0.3">
      <c r="A27" s="24"/>
      <c r="B27" s="23"/>
      <c r="C27" s="24"/>
      <c r="D27" s="28"/>
      <c r="E27" s="26"/>
      <c r="G27" s="27"/>
    </row>
    <row r="28" spans="1:7" x14ac:dyDescent="0.3">
      <c r="A28" s="28"/>
      <c r="B28" s="6"/>
      <c r="C28" s="28"/>
      <c r="D28" s="46" t="s">
        <v>16</v>
      </c>
      <c r="E28" s="1"/>
      <c r="F28" s="2"/>
      <c r="G28" s="18">
        <f>G17+G18</f>
        <v>25833.333333333336</v>
      </c>
    </row>
    <row r="29" spans="1:7" x14ac:dyDescent="0.3">
      <c r="A29" s="28"/>
      <c r="B29" s="28"/>
      <c r="C29" s="28"/>
      <c r="D29" s="102" t="s">
        <v>51</v>
      </c>
      <c r="E29" s="63"/>
      <c r="F29" s="64"/>
      <c r="G29" s="18">
        <v>0</v>
      </c>
    </row>
    <row r="30" spans="1:7" ht="15" customHeight="1" x14ac:dyDescent="0.3">
      <c r="A30" s="21"/>
      <c r="B30" s="21"/>
      <c r="C30" s="21"/>
      <c r="D30" s="70" t="s">
        <v>52</v>
      </c>
      <c r="E30" s="70"/>
      <c r="F30" s="70"/>
      <c r="G30" s="18">
        <v>0</v>
      </c>
    </row>
    <row r="31" spans="1:7" x14ac:dyDescent="0.3">
      <c r="A31" s="90" t="s">
        <v>18</v>
      </c>
      <c r="B31" s="96"/>
      <c r="C31" s="97"/>
      <c r="D31" s="103"/>
      <c r="E31" s="96"/>
      <c r="F31" s="97"/>
      <c r="G31" s="29" t="s">
        <v>50</v>
      </c>
    </row>
    <row r="32" spans="1:7" ht="14.7" customHeight="1" x14ac:dyDescent="0.3">
      <c r="A32" s="104" t="s">
        <v>19</v>
      </c>
      <c r="B32" s="105"/>
      <c r="C32" s="105"/>
      <c r="D32" s="93" t="s">
        <v>20</v>
      </c>
      <c r="E32" s="94"/>
      <c r="F32" s="95"/>
      <c r="G32" s="30">
        <f>G29+G30+G28</f>
        <v>25833.333333333336</v>
      </c>
    </row>
    <row r="33" spans="1:7" x14ac:dyDescent="0.3">
      <c r="A33" s="104" t="s">
        <v>21</v>
      </c>
      <c r="B33" s="105"/>
      <c r="C33" s="106"/>
      <c r="D33" s="31" t="s">
        <v>22</v>
      </c>
      <c r="E33" s="1"/>
      <c r="F33" s="2"/>
      <c r="G33" s="32">
        <f>G32*9%</f>
        <v>2325</v>
      </c>
    </row>
    <row r="34" spans="1:7" ht="14.7" customHeight="1" x14ac:dyDescent="0.3">
      <c r="A34" s="104" t="s">
        <v>23</v>
      </c>
      <c r="B34" s="105"/>
      <c r="C34" s="106"/>
      <c r="D34" s="107" t="s">
        <v>24</v>
      </c>
      <c r="E34" s="63"/>
      <c r="F34" s="64"/>
      <c r="G34" s="33">
        <f>G32*9%</f>
        <v>2325</v>
      </c>
    </row>
    <row r="35" spans="1:7" x14ac:dyDescent="0.3">
      <c r="A35" s="90" t="s">
        <v>25</v>
      </c>
      <c r="B35" s="91"/>
      <c r="C35" s="92"/>
      <c r="D35" s="90"/>
      <c r="E35" s="96"/>
      <c r="F35" s="97"/>
      <c r="G35" s="34"/>
    </row>
    <row r="36" spans="1:7" x14ac:dyDescent="0.3">
      <c r="A36" s="93"/>
      <c r="B36" s="94"/>
      <c r="C36" s="95"/>
      <c r="D36" s="93" t="s">
        <v>20</v>
      </c>
      <c r="E36" s="70"/>
      <c r="F36" s="69"/>
      <c r="G36" s="52">
        <f>SUM(G32:G34)</f>
        <v>30483.333333333336</v>
      </c>
    </row>
    <row r="37" spans="1:7" x14ac:dyDescent="0.3">
      <c r="A37" s="137" t="s">
        <v>92</v>
      </c>
      <c r="B37" s="138"/>
      <c r="C37" s="139"/>
      <c r="D37" s="94" t="s">
        <v>72</v>
      </c>
      <c r="E37" s="70"/>
      <c r="F37" s="69"/>
      <c r="G37" s="50">
        <v>0.33</v>
      </c>
    </row>
    <row r="38" spans="1:7" x14ac:dyDescent="0.3">
      <c r="A38" s="57"/>
      <c r="B38" s="58"/>
      <c r="C38" s="108"/>
      <c r="D38" s="93" t="s">
        <v>26</v>
      </c>
      <c r="E38" s="70"/>
      <c r="F38" s="69"/>
      <c r="G38" s="36">
        <f>G36-G37</f>
        <v>30483.003333333334</v>
      </c>
    </row>
    <row r="39" spans="1:7" ht="15" customHeight="1" x14ac:dyDescent="0.3">
      <c r="A39" s="78" t="s">
        <v>27</v>
      </c>
      <c r="B39" s="109"/>
      <c r="C39" s="110"/>
      <c r="D39" s="117" t="s">
        <v>42</v>
      </c>
      <c r="E39" s="118"/>
      <c r="F39" s="118"/>
      <c r="G39" s="119"/>
    </row>
    <row r="40" spans="1:7" x14ac:dyDescent="0.3">
      <c r="A40" s="111"/>
      <c r="B40" s="112"/>
      <c r="C40" s="113"/>
      <c r="D40" s="120"/>
      <c r="E40" s="121"/>
      <c r="F40" s="121"/>
      <c r="G40" s="122"/>
    </row>
    <row r="41" spans="1:7" ht="14.4" customHeight="1" x14ac:dyDescent="0.3">
      <c r="A41" s="111"/>
      <c r="B41" s="112"/>
      <c r="C41" s="113"/>
      <c r="D41" s="120"/>
      <c r="E41" s="121"/>
      <c r="F41" s="121"/>
      <c r="G41" s="122"/>
    </row>
    <row r="42" spans="1:7" ht="14.4" customHeight="1" x14ac:dyDescent="0.3">
      <c r="A42" s="111"/>
      <c r="B42" s="112"/>
      <c r="C42" s="113"/>
      <c r="D42" s="120"/>
      <c r="E42" s="121"/>
      <c r="F42" s="121"/>
      <c r="G42" s="122"/>
    </row>
    <row r="43" spans="1:7" ht="14.4" customHeight="1" x14ac:dyDescent="0.3">
      <c r="A43" s="111"/>
      <c r="B43" s="112"/>
      <c r="C43" s="113"/>
      <c r="D43" s="120"/>
      <c r="E43" s="121"/>
      <c r="F43" s="121"/>
      <c r="G43" s="122"/>
    </row>
    <row r="44" spans="1:7" ht="14.4" customHeight="1" x14ac:dyDescent="0.3">
      <c r="A44" s="114"/>
      <c r="B44" s="115"/>
      <c r="C44" s="116"/>
      <c r="D44" s="123"/>
      <c r="E44" s="124"/>
      <c r="F44" s="124"/>
      <c r="G44" s="125"/>
    </row>
    <row r="46" spans="1:7" ht="14.4" customHeight="1" x14ac:dyDescent="0.3"/>
    <row r="47" spans="1:7" ht="14.4" customHeight="1" x14ac:dyDescent="0.3"/>
    <row r="48" spans="1:7" ht="14.4" customHeight="1" x14ac:dyDescent="0.3"/>
  </sheetData>
  <mergeCells count="41">
    <mergeCell ref="F11:G11"/>
    <mergeCell ref="A1:E1"/>
    <mergeCell ref="F1:G1"/>
    <mergeCell ref="A2:E2"/>
    <mergeCell ref="A3:E3"/>
    <mergeCell ref="F3:G3"/>
    <mergeCell ref="A4:E4"/>
    <mergeCell ref="A5:E5"/>
    <mergeCell ref="A7:E7"/>
    <mergeCell ref="F7:G7"/>
    <mergeCell ref="A8:E8"/>
    <mergeCell ref="F10:G10"/>
    <mergeCell ref="F12:G12"/>
    <mergeCell ref="F13:G13"/>
    <mergeCell ref="A14:G15"/>
    <mergeCell ref="A16:A17"/>
    <mergeCell ref="B16:B17"/>
    <mergeCell ref="C16:C17"/>
    <mergeCell ref="D16:D17"/>
    <mergeCell ref="E16:E17"/>
    <mergeCell ref="F16:F17"/>
    <mergeCell ref="A35:C36"/>
    <mergeCell ref="D35:F35"/>
    <mergeCell ref="D36:F36"/>
    <mergeCell ref="C18:C19"/>
    <mergeCell ref="D18:D19"/>
    <mergeCell ref="D29:F29"/>
    <mergeCell ref="D30:F30"/>
    <mergeCell ref="A31:C31"/>
    <mergeCell ref="D31:F31"/>
    <mergeCell ref="A32:C32"/>
    <mergeCell ref="D32:F32"/>
    <mergeCell ref="A33:C33"/>
    <mergeCell ref="A34:C34"/>
    <mergeCell ref="D34:F34"/>
    <mergeCell ref="A37:C37"/>
    <mergeCell ref="D37:F37"/>
    <mergeCell ref="A38:C38"/>
    <mergeCell ref="D38:F38"/>
    <mergeCell ref="A39:C44"/>
    <mergeCell ref="D39:G44"/>
  </mergeCells>
  <pageMargins left="0.7" right="0.7" top="0.75" bottom="0.75" header="0.3" footer="0.3"/>
  <pageSetup paperSize="9" scale="93" fitToHeight="0" orientation="portrait" horizontalDpi="4294967293" r:id="rId1"/>
  <headerFooter>
    <oddHeader xml:space="preserve">&amp;CPROFORM INVOICE
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5011F-4A65-42B8-9B9A-26463AB08928}">
  <sheetPr>
    <pageSetUpPr fitToPage="1"/>
  </sheetPr>
  <dimension ref="A1:G48"/>
  <sheetViews>
    <sheetView tabSelected="1" view="pageLayout" zoomScale="119" zoomScaleNormal="100" zoomScalePageLayoutView="119" workbookViewId="0">
      <selection activeCell="F11" sqref="F11:G11"/>
    </sheetView>
  </sheetViews>
  <sheetFormatPr defaultRowHeight="14.4" x14ac:dyDescent="0.3"/>
  <cols>
    <col min="1" max="1" width="3.6640625" customWidth="1"/>
    <col min="2" max="2" width="29.21875" customWidth="1"/>
    <col min="3" max="3" width="8.6640625" customWidth="1"/>
    <col min="4" max="4" width="7.5546875" customWidth="1"/>
    <col min="5" max="5" width="8.88671875" customWidth="1"/>
    <col min="6" max="6" width="13.5546875" customWidth="1"/>
    <col min="7" max="7" width="22.33203125" customWidth="1"/>
    <col min="8" max="8" width="11.44140625" bestFit="1" customWidth="1"/>
  </cols>
  <sheetData>
    <row r="1" spans="1:7" ht="23.4" x14ac:dyDescent="0.45">
      <c r="A1" s="126" t="s">
        <v>0</v>
      </c>
      <c r="B1" s="127"/>
      <c r="C1" s="127"/>
      <c r="D1" s="127"/>
      <c r="E1" s="127"/>
      <c r="F1" s="63"/>
      <c r="G1" s="64"/>
    </row>
    <row r="2" spans="1:7" x14ac:dyDescent="0.3">
      <c r="A2" s="65" t="s">
        <v>30</v>
      </c>
      <c r="B2" s="66"/>
      <c r="C2" s="66"/>
      <c r="D2" s="66"/>
      <c r="E2" s="67"/>
      <c r="F2" s="3"/>
      <c r="G2" s="4"/>
    </row>
    <row r="3" spans="1:7" x14ac:dyDescent="0.3">
      <c r="A3" s="65" t="s">
        <v>1</v>
      </c>
      <c r="B3" s="66"/>
      <c r="C3" s="66"/>
      <c r="D3" s="66"/>
      <c r="E3" s="67"/>
      <c r="F3" s="68" t="s">
        <v>94</v>
      </c>
      <c r="G3" s="69"/>
    </row>
    <row r="4" spans="1:7" x14ac:dyDescent="0.3">
      <c r="A4" s="68" t="s">
        <v>2</v>
      </c>
      <c r="B4" s="70"/>
      <c r="C4" s="70"/>
      <c r="D4" s="70"/>
      <c r="E4" s="70"/>
      <c r="F4" s="5" t="s">
        <v>95</v>
      </c>
      <c r="G4" s="6"/>
    </row>
    <row r="5" spans="1:7" x14ac:dyDescent="0.3">
      <c r="A5" s="68" t="s">
        <v>3</v>
      </c>
      <c r="B5" s="70"/>
      <c r="C5" s="70"/>
      <c r="D5" s="70"/>
      <c r="E5" s="70"/>
      <c r="F5" s="7"/>
      <c r="G5" s="45"/>
    </row>
    <row r="6" spans="1:7" x14ac:dyDescent="0.3">
      <c r="A6" s="7" t="s">
        <v>4</v>
      </c>
      <c r="B6" s="8"/>
      <c r="C6" s="8"/>
      <c r="D6" s="8"/>
      <c r="E6" s="8"/>
      <c r="F6" s="5"/>
      <c r="G6" s="6"/>
    </row>
    <row r="7" spans="1:7" x14ac:dyDescent="0.3">
      <c r="A7" s="71" t="s">
        <v>5</v>
      </c>
      <c r="B7" s="72"/>
      <c r="C7" s="72"/>
      <c r="D7" s="72"/>
      <c r="E7" s="72"/>
      <c r="F7" s="71" t="s">
        <v>78</v>
      </c>
      <c r="G7" s="73"/>
    </row>
    <row r="8" spans="1:7" x14ac:dyDescent="0.3">
      <c r="A8" s="133" t="s">
        <v>43</v>
      </c>
      <c r="B8" s="134"/>
      <c r="C8" s="134"/>
      <c r="D8" s="134"/>
      <c r="E8" s="134"/>
      <c r="F8" s="9"/>
      <c r="G8" s="10"/>
    </row>
    <row r="9" spans="1:7" x14ac:dyDescent="0.3">
      <c r="A9" s="54" t="s">
        <v>91</v>
      </c>
      <c r="B9" s="55"/>
      <c r="C9" s="55"/>
      <c r="D9" s="55"/>
      <c r="E9" s="55"/>
      <c r="F9" s="38"/>
      <c r="G9" s="56"/>
    </row>
    <row r="10" spans="1:7" x14ac:dyDescent="0.3">
      <c r="A10" s="37" t="s">
        <v>44</v>
      </c>
      <c r="B10" s="12"/>
      <c r="C10" s="12"/>
      <c r="D10" s="12"/>
      <c r="E10" s="12"/>
      <c r="F10" s="104" t="s">
        <v>82</v>
      </c>
      <c r="G10" s="106"/>
    </row>
    <row r="11" spans="1:7" x14ac:dyDescent="0.3">
      <c r="A11" s="13" t="s">
        <v>45</v>
      </c>
      <c r="B11" s="14"/>
      <c r="C11" s="14"/>
      <c r="D11" s="14"/>
      <c r="E11" s="14"/>
      <c r="F11" s="68" t="s">
        <v>83</v>
      </c>
      <c r="G11" s="69"/>
    </row>
    <row r="12" spans="1:7" x14ac:dyDescent="0.3">
      <c r="A12" s="38" t="s">
        <v>46</v>
      </c>
      <c r="B12" s="39"/>
      <c r="C12" s="39"/>
      <c r="D12" s="39"/>
      <c r="E12" s="39"/>
      <c r="F12" s="135" t="s">
        <v>84</v>
      </c>
      <c r="G12" s="136"/>
    </row>
    <row r="13" spans="1:7" x14ac:dyDescent="0.3">
      <c r="A13" s="40" t="s">
        <v>47</v>
      </c>
      <c r="B13" s="41"/>
      <c r="C13" s="41"/>
      <c r="D13" s="41"/>
      <c r="E13" s="41"/>
      <c r="F13" s="59"/>
      <c r="G13" s="60"/>
    </row>
    <row r="14" spans="1:7" ht="14.4" customHeight="1" x14ac:dyDescent="0.3">
      <c r="A14" s="78" t="s">
        <v>29</v>
      </c>
      <c r="B14" s="79"/>
      <c r="C14" s="79"/>
      <c r="D14" s="79"/>
      <c r="E14" s="79"/>
      <c r="F14" s="79"/>
      <c r="G14" s="80"/>
    </row>
    <row r="15" spans="1:7" x14ac:dyDescent="0.3">
      <c r="A15" s="81"/>
      <c r="B15" s="82"/>
      <c r="C15" s="82"/>
      <c r="D15" s="82"/>
      <c r="E15" s="82"/>
      <c r="F15" s="82"/>
      <c r="G15" s="83"/>
    </row>
    <row r="16" spans="1:7" ht="14.4" customHeight="1" x14ac:dyDescent="0.3">
      <c r="A16" s="86" t="s">
        <v>85</v>
      </c>
      <c r="B16" s="84" t="s">
        <v>10</v>
      </c>
      <c r="C16" s="84" t="s">
        <v>48</v>
      </c>
      <c r="D16" s="84" t="s">
        <v>11</v>
      </c>
      <c r="E16" s="86" t="s">
        <v>49</v>
      </c>
      <c r="F16" s="84" t="s">
        <v>12</v>
      </c>
      <c r="G16" s="42" t="s">
        <v>13</v>
      </c>
    </row>
    <row r="17" spans="1:7" x14ac:dyDescent="0.3">
      <c r="A17" s="85"/>
      <c r="B17" s="85"/>
      <c r="C17" s="85"/>
      <c r="D17" s="85"/>
      <c r="E17" s="89"/>
      <c r="F17" s="85"/>
      <c r="G17" s="43"/>
    </row>
    <row r="18" spans="1:7" x14ac:dyDescent="0.3">
      <c r="A18" s="15">
        <v>1</v>
      </c>
      <c r="B18" s="15" t="s">
        <v>79</v>
      </c>
      <c r="C18" s="98">
        <v>9985</v>
      </c>
      <c r="D18" s="100">
        <v>25000</v>
      </c>
      <c r="E18" s="16">
        <v>31</v>
      </c>
      <c r="F18" s="17">
        <v>2</v>
      </c>
      <c r="G18" s="18">
        <f>E18*(D18/30)</f>
        <v>25833.333333333336</v>
      </c>
    </row>
    <row r="19" spans="1:7" x14ac:dyDescent="0.3">
      <c r="A19" s="19">
        <v>2</v>
      </c>
      <c r="B19" s="19" t="s">
        <v>80</v>
      </c>
      <c r="C19" s="99"/>
      <c r="D19" s="101"/>
      <c r="E19" s="20">
        <v>0</v>
      </c>
      <c r="F19" s="21"/>
      <c r="G19" s="18">
        <f>E19*(D18/30/9)</f>
        <v>0</v>
      </c>
    </row>
    <row r="20" spans="1:7" x14ac:dyDescent="0.3">
      <c r="A20" s="3"/>
      <c r="B20" s="44"/>
      <c r="C20" s="3"/>
      <c r="D20" s="44"/>
      <c r="E20" s="3"/>
      <c r="F20" s="4"/>
      <c r="G20" s="4"/>
    </row>
    <row r="21" spans="1:7" x14ac:dyDescent="0.3">
      <c r="A21" s="5"/>
      <c r="B21" s="28"/>
      <c r="C21" s="5"/>
      <c r="D21" s="28"/>
      <c r="E21" s="5"/>
      <c r="F21" s="6"/>
      <c r="G21" s="6"/>
    </row>
    <row r="22" spans="1:7" x14ac:dyDescent="0.3">
      <c r="A22" s="22"/>
      <c r="B22" s="23"/>
      <c r="C22" s="24"/>
      <c r="D22" s="25"/>
      <c r="E22" s="26"/>
      <c r="G22" s="27"/>
    </row>
    <row r="23" spans="1:7" x14ac:dyDescent="0.3">
      <c r="A23" s="22"/>
      <c r="B23" s="23"/>
      <c r="C23" s="24"/>
      <c r="D23" s="25"/>
      <c r="E23" s="26"/>
      <c r="G23" s="27"/>
    </row>
    <row r="24" spans="1:7" x14ac:dyDescent="0.3">
      <c r="A24" s="22"/>
      <c r="B24" s="23"/>
      <c r="C24" s="24"/>
      <c r="D24" s="25"/>
      <c r="E24" s="26"/>
      <c r="G24" s="27"/>
    </row>
    <row r="25" spans="1:7" x14ac:dyDescent="0.3">
      <c r="A25" s="22"/>
      <c r="B25" s="23"/>
      <c r="C25" s="24"/>
      <c r="D25" s="25"/>
      <c r="E25" s="26"/>
      <c r="G25" s="27"/>
    </row>
    <row r="26" spans="1:7" x14ac:dyDescent="0.3">
      <c r="A26" s="22"/>
      <c r="B26" s="23"/>
      <c r="C26" s="24"/>
      <c r="D26" s="25"/>
      <c r="E26" s="26"/>
      <c r="G26" s="27"/>
    </row>
    <row r="27" spans="1:7" x14ac:dyDescent="0.3">
      <c r="A27" s="24"/>
      <c r="B27" s="23"/>
      <c r="C27" s="24"/>
      <c r="D27" s="28"/>
      <c r="E27" s="26"/>
      <c r="G27" s="27"/>
    </row>
    <row r="28" spans="1:7" x14ac:dyDescent="0.3">
      <c r="A28" s="28"/>
      <c r="B28" s="6"/>
      <c r="C28" s="28"/>
      <c r="D28" s="46" t="s">
        <v>16</v>
      </c>
      <c r="E28" s="1"/>
      <c r="F28" s="2"/>
      <c r="G28" s="18">
        <f>G17+G18</f>
        <v>25833.333333333336</v>
      </c>
    </row>
    <row r="29" spans="1:7" x14ac:dyDescent="0.3">
      <c r="A29" s="28"/>
      <c r="B29" s="28"/>
      <c r="C29" s="28"/>
      <c r="D29" s="102" t="s">
        <v>51</v>
      </c>
      <c r="E29" s="63"/>
      <c r="F29" s="64"/>
      <c r="G29" s="18">
        <v>0</v>
      </c>
    </row>
    <row r="30" spans="1:7" ht="15" customHeight="1" x14ac:dyDescent="0.3">
      <c r="A30" s="21"/>
      <c r="B30" s="21"/>
      <c r="C30" s="21"/>
      <c r="D30" s="70" t="s">
        <v>52</v>
      </c>
      <c r="E30" s="70"/>
      <c r="F30" s="70"/>
      <c r="G30" s="18">
        <v>0</v>
      </c>
    </row>
    <row r="31" spans="1:7" x14ac:dyDescent="0.3">
      <c r="A31" s="90" t="s">
        <v>18</v>
      </c>
      <c r="B31" s="96"/>
      <c r="C31" s="97"/>
      <c r="D31" s="103"/>
      <c r="E31" s="96"/>
      <c r="F31" s="97"/>
      <c r="G31" s="29" t="s">
        <v>50</v>
      </c>
    </row>
    <row r="32" spans="1:7" ht="14.7" customHeight="1" x14ac:dyDescent="0.3">
      <c r="A32" s="104" t="s">
        <v>19</v>
      </c>
      <c r="B32" s="105"/>
      <c r="C32" s="105"/>
      <c r="D32" s="93" t="s">
        <v>20</v>
      </c>
      <c r="E32" s="94"/>
      <c r="F32" s="95"/>
      <c r="G32" s="30">
        <f>G29+G30+G28</f>
        <v>25833.333333333336</v>
      </c>
    </row>
    <row r="33" spans="1:7" x14ac:dyDescent="0.3">
      <c r="A33" s="104" t="s">
        <v>21</v>
      </c>
      <c r="B33" s="105"/>
      <c r="C33" s="106"/>
      <c r="D33" s="31" t="s">
        <v>22</v>
      </c>
      <c r="E33" s="1"/>
      <c r="F33" s="2"/>
      <c r="G33" s="32">
        <f>G32*9%</f>
        <v>2325</v>
      </c>
    </row>
    <row r="34" spans="1:7" ht="14.7" customHeight="1" x14ac:dyDescent="0.3">
      <c r="A34" s="104" t="s">
        <v>23</v>
      </c>
      <c r="B34" s="105"/>
      <c r="C34" s="106"/>
      <c r="D34" s="107" t="s">
        <v>24</v>
      </c>
      <c r="E34" s="63"/>
      <c r="F34" s="64"/>
      <c r="G34" s="33">
        <f>G32*9%</f>
        <v>2325</v>
      </c>
    </row>
    <row r="35" spans="1:7" x14ac:dyDescent="0.3">
      <c r="A35" s="90" t="s">
        <v>25</v>
      </c>
      <c r="B35" s="91"/>
      <c r="C35" s="92"/>
      <c r="D35" s="90"/>
      <c r="E35" s="96"/>
      <c r="F35" s="97"/>
      <c r="G35" s="34"/>
    </row>
    <row r="36" spans="1:7" x14ac:dyDescent="0.3">
      <c r="A36" s="93"/>
      <c r="B36" s="94"/>
      <c r="C36" s="95"/>
      <c r="D36" s="93" t="s">
        <v>20</v>
      </c>
      <c r="E36" s="70"/>
      <c r="F36" s="69"/>
      <c r="G36" s="52">
        <f>SUM(G32:G34)</f>
        <v>30483.333333333336</v>
      </c>
    </row>
    <row r="37" spans="1:7" x14ac:dyDescent="0.3">
      <c r="A37" s="137" t="s">
        <v>92</v>
      </c>
      <c r="B37" s="138"/>
      <c r="C37" s="139"/>
      <c r="D37" s="94" t="s">
        <v>72</v>
      </c>
      <c r="E37" s="70"/>
      <c r="F37" s="69"/>
      <c r="G37" s="50">
        <v>0.33</v>
      </c>
    </row>
    <row r="38" spans="1:7" x14ac:dyDescent="0.3">
      <c r="A38" s="57"/>
      <c r="B38" s="58"/>
      <c r="C38" s="108"/>
      <c r="D38" s="93" t="s">
        <v>26</v>
      </c>
      <c r="E38" s="70"/>
      <c r="F38" s="69"/>
      <c r="G38" s="36">
        <f>G36-G37</f>
        <v>30483.003333333334</v>
      </c>
    </row>
    <row r="39" spans="1:7" ht="15" customHeight="1" x14ac:dyDescent="0.3">
      <c r="A39" s="78" t="s">
        <v>27</v>
      </c>
      <c r="B39" s="109"/>
      <c r="C39" s="110"/>
      <c r="D39" s="117" t="s">
        <v>42</v>
      </c>
      <c r="E39" s="118"/>
      <c r="F39" s="118"/>
      <c r="G39" s="119"/>
    </row>
    <row r="40" spans="1:7" x14ac:dyDescent="0.3">
      <c r="A40" s="111"/>
      <c r="B40" s="112"/>
      <c r="C40" s="113"/>
      <c r="D40" s="120"/>
      <c r="E40" s="121"/>
      <c r="F40" s="121"/>
      <c r="G40" s="122"/>
    </row>
    <row r="41" spans="1:7" ht="14.4" customHeight="1" x14ac:dyDescent="0.3">
      <c r="A41" s="111"/>
      <c r="B41" s="112"/>
      <c r="C41" s="113"/>
      <c r="D41" s="120"/>
      <c r="E41" s="121"/>
      <c r="F41" s="121"/>
      <c r="G41" s="122"/>
    </row>
    <row r="42" spans="1:7" ht="14.4" customHeight="1" x14ac:dyDescent="0.3">
      <c r="A42" s="111"/>
      <c r="B42" s="112"/>
      <c r="C42" s="113"/>
      <c r="D42" s="120"/>
      <c r="E42" s="121"/>
      <c r="F42" s="121"/>
      <c r="G42" s="122"/>
    </row>
    <row r="43" spans="1:7" ht="14.4" customHeight="1" x14ac:dyDescent="0.3">
      <c r="A43" s="111"/>
      <c r="B43" s="112"/>
      <c r="C43" s="113"/>
      <c r="D43" s="120"/>
      <c r="E43" s="121"/>
      <c r="F43" s="121"/>
      <c r="G43" s="122"/>
    </row>
    <row r="44" spans="1:7" ht="14.4" customHeight="1" x14ac:dyDescent="0.3">
      <c r="A44" s="114"/>
      <c r="B44" s="115"/>
      <c r="C44" s="116"/>
      <c r="D44" s="123"/>
      <c r="E44" s="124"/>
      <c r="F44" s="124"/>
      <c r="G44" s="125"/>
    </row>
    <row r="46" spans="1:7" ht="14.4" customHeight="1" x14ac:dyDescent="0.3"/>
    <row r="47" spans="1:7" ht="14.4" customHeight="1" x14ac:dyDescent="0.3"/>
    <row r="48" spans="1:7" ht="14.4" customHeight="1" x14ac:dyDescent="0.3"/>
  </sheetData>
  <mergeCells count="41">
    <mergeCell ref="A37:C37"/>
    <mergeCell ref="D37:F37"/>
    <mergeCell ref="A38:C38"/>
    <mergeCell ref="D38:F38"/>
    <mergeCell ref="A39:C44"/>
    <mergeCell ref="D39:G44"/>
    <mergeCell ref="A32:C32"/>
    <mergeCell ref="D32:F32"/>
    <mergeCell ref="A33:C33"/>
    <mergeCell ref="A34:C34"/>
    <mergeCell ref="D34:F34"/>
    <mergeCell ref="A35:C36"/>
    <mergeCell ref="D35:F35"/>
    <mergeCell ref="D36:F36"/>
    <mergeCell ref="C18:C19"/>
    <mergeCell ref="D18:D19"/>
    <mergeCell ref="D29:F29"/>
    <mergeCell ref="D30:F30"/>
    <mergeCell ref="A31:C31"/>
    <mergeCell ref="D31:F31"/>
    <mergeCell ref="F12:G12"/>
    <mergeCell ref="F13:G13"/>
    <mergeCell ref="A14:G15"/>
    <mergeCell ref="A16:A17"/>
    <mergeCell ref="B16:B17"/>
    <mergeCell ref="C16:C17"/>
    <mergeCell ref="D16:D17"/>
    <mergeCell ref="E16:E17"/>
    <mergeCell ref="F16:F17"/>
    <mergeCell ref="A5:E5"/>
    <mergeCell ref="A7:E7"/>
    <mergeCell ref="F7:G7"/>
    <mergeCell ref="A8:E8"/>
    <mergeCell ref="F10:G10"/>
    <mergeCell ref="F11:G11"/>
    <mergeCell ref="A1:E1"/>
    <mergeCell ref="F1:G1"/>
    <mergeCell ref="A2:E2"/>
    <mergeCell ref="A3:E3"/>
    <mergeCell ref="F3:G3"/>
    <mergeCell ref="A4:E4"/>
  </mergeCells>
  <pageMargins left="0.7" right="0.7" top="0.75" bottom="0.75" header="0.3" footer="0.3"/>
  <pageSetup paperSize="9" scale="93" fitToHeight="0" orientation="portrait" horizontalDpi="4294967293" r:id="rId1"/>
  <headerFooter>
    <oddHeader xml:space="preserve">&amp;CTAX INVOICE
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8691-BF5A-410A-9B25-1E4B941B7080}">
  <sheetPr>
    <pageSetUpPr fitToPage="1"/>
  </sheetPr>
  <dimension ref="A1:G47"/>
  <sheetViews>
    <sheetView view="pageLayout" topLeftCell="A4" zoomScale="110" zoomScaleNormal="100" zoomScalePageLayoutView="110" workbookViewId="0">
      <selection activeCell="F10" sqref="F10:G10"/>
    </sheetView>
  </sheetViews>
  <sheetFormatPr defaultRowHeight="14.4" x14ac:dyDescent="0.3"/>
  <cols>
    <col min="1" max="1" width="5.33203125" customWidth="1"/>
    <col min="2" max="2" width="27.88671875" customWidth="1"/>
    <col min="3" max="3" width="9.5546875" bestFit="1" customWidth="1"/>
    <col min="4" max="4" width="8.44140625" customWidth="1"/>
    <col min="5" max="5" width="9.44140625" customWidth="1"/>
    <col min="6" max="6" width="13.5546875" customWidth="1"/>
    <col min="7" max="7" width="22.21875" customWidth="1"/>
    <col min="8" max="8" width="11.44140625" bestFit="1" customWidth="1"/>
  </cols>
  <sheetData>
    <row r="1" spans="1:7" ht="23.4" x14ac:dyDescent="0.45">
      <c r="A1" s="126" t="s">
        <v>0</v>
      </c>
      <c r="B1" s="127"/>
      <c r="C1" s="127"/>
      <c r="D1" s="127"/>
      <c r="E1" s="127"/>
      <c r="F1" s="63"/>
      <c r="G1" s="64"/>
    </row>
    <row r="2" spans="1:7" x14ac:dyDescent="0.3">
      <c r="A2" s="65" t="s">
        <v>30</v>
      </c>
      <c r="B2" s="66"/>
      <c r="C2" s="66"/>
      <c r="D2" s="66"/>
      <c r="E2" s="67"/>
      <c r="F2" s="3"/>
      <c r="G2" s="4"/>
    </row>
    <row r="3" spans="1:7" x14ac:dyDescent="0.3">
      <c r="A3" s="65" t="s">
        <v>1</v>
      </c>
      <c r="B3" s="66"/>
      <c r="C3" s="66"/>
      <c r="D3" s="66"/>
      <c r="E3" s="67"/>
      <c r="F3" s="68" t="s">
        <v>65</v>
      </c>
      <c r="G3" s="69"/>
    </row>
    <row r="4" spans="1:7" x14ac:dyDescent="0.3">
      <c r="A4" s="68" t="s">
        <v>2</v>
      </c>
      <c r="B4" s="70"/>
      <c r="C4" s="70"/>
      <c r="D4" s="70"/>
      <c r="E4" s="70"/>
      <c r="F4" s="5" t="s">
        <v>86</v>
      </c>
      <c r="G4" s="6"/>
    </row>
    <row r="5" spans="1:7" x14ac:dyDescent="0.3">
      <c r="A5" s="68" t="s">
        <v>3</v>
      </c>
      <c r="B5" s="70"/>
      <c r="C5" s="70"/>
      <c r="D5" s="70"/>
      <c r="E5" s="70"/>
      <c r="F5" s="7"/>
      <c r="G5" s="45"/>
    </row>
    <row r="6" spans="1:7" x14ac:dyDescent="0.3">
      <c r="A6" s="7" t="s">
        <v>4</v>
      </c>
      <c r="B6" s="8"/>
      <c r="C6" s="8"/>
      <c r="D6" s="8"/>
      <c r="E6" s="8"/>
      <c r="F6" s="5"/>
      <c r="G6" s="6"/>
    </row>
    <row r="7" spans="1:7" x14ac:dyDescent="0.3">
      <c r="A7" s="71" t="s">
        <v>5</v>
      </c>
      <c r="B7" s="72"/>
      <c r="C7" s="72"/>
      <c r="D7" s="72"/>
      <c r="E7" s="72"/>
      <c r="F7" s="71" t="s">
        <v>54</v>
      </c>
      <c r="G7" s="73"/>
    </row>
    <row r="8" spans="1:7" x14ac:dyDescent="0.3">
      <c r="A8" s="133" t="s">
        <v>43</v>
      </c>
      <c r="B8" s="134"/>
      <c r="C8" s="134"/>
      <c r="D8" s="134"/>
      <c r="E8" s="134"/>
      <c r="F8" s="9"/>
      <c r="G8" s="10"/>
    </row>
    <row r="9" spans="1:7" x14ac:dyDescent="0.3">
      <c r="A9" s="37" t="s">
        <v>44</v>
      </c>
      <c r="B9" s="12"/>
      <c r="C9" s="12"/>
      <c r="D9" s="12"/>
      <c r="E9" s="12"/>
      <c r="F9" s="104" t="s">
        <v>69</v>
      </c>
      <c r="G9" s="106"/>
    </row>
    <row r="10" spans="1:7" x14ac:dyDescent="0.3">
      <c r="A10" s="13" t="s">
        <v>45</v>
      </c>
      <c r="B10" s="14"/>
      <c r="C10" s="14"/>
      <c r="D10" s="14"/>
      <c r="E10" s="14"/>
      <c r="F10" s="68" t="s">
        <v>70</v>
      </c>
      <c r="G10" s="69"/>
    </row>
    <row r="11" spans="1:7" x14ac:dyDescent="0.3">
      <c r="A11" s="38" t="s">
        <v>46</v>
      </c>
      <c r="B11" s="39"/>
      <c r="C11" s="39"/>
      <c r="D11" s="39"/>
      <c r="E11" s="39"/>
      <c r="F11" s="135" t="s">
        <v>71</v>
      </c>
      <c r="G11" s="136"/>
    </row>
    <row r="12" spans="1:7" x14ac:dyDescent="0.3">
      <c r="A12" s="40" t="s">
        <v>47</v>
      </c>
      <c r="B12" s="41"/>
      <c r="C12" s="41"/>
      <c r="D12" s="41"/>
      <c r="E12" s="41"/>
      <c r="F12" s="59"/>
      <c r="G12" s="60"/>
    </row>
    <row r="13" spans="1:7" ht="14.4" customHeight="1" x14ac:dyDescent="0.3">
      <c r="A13" s="78" t="s">
        <v>29</v>
      </c>
      <c r="B13" s="79"/>
      <c r="C13" s="79"/>
      <c r="D13" s="79"/>
      <c r="E13" s="79"/>
      <c r="F13" s="79"/>
      <c r="G13" s="80"/>
    </row>
    <row r="14" spans="1:7" x14ac:dyDescent="0.3">
      <c r="A14" s="81"/>
      <c r="B14" s="82"/>
      <c r="C14" s="82"/>
      <c r="D14" s="82"/>
      <c r="E14" s="82"/>
      <c r="F14" s="82"/>
      <c r="G14" s="83"/>
    </row>
    <row r="15" spans="1:7" ht="14.4" customHeight="1" x14ac:dyDescent="0.3">
      <c r="A15" s="84" t="s">
        <v>9</v>
      </c>
      <c r="B15" s="84" t="s">
        <v>10</v>
      </c>
      <c r="C15" s="84" t="s">
        <v>48</v>
      </c>
      <c r="D15" s="84" t="s">
        <v>11</v>
      </c>
      <c r="E15" s="86" t="s">
        <v>49</v>
      </c>
      <c r="F15" s="84" t="s">
        <v>12</v>
      </c>
      <c r="G15" s="42" t="s">
        <v>13</v>
      </c>
    </row>
    <row r="16" spans="1:7" x14ac:dyDescent="0.3">
      <c r="A16" s="85"/>
      <c r="B16" s="85"/>
      <c r="C16" s="85"/>
      <c r="D16" s="85"/>
      <c r="E16" s="89"/>
      <c r="F16" s="85"/>
      <c r="G16" s="43"/>
    </row>
    <row r="17" spans="1:7" x14ac:dyDescent="0.3">
      <c r="A17" s="15">
        <v>1</v>
      </c>
      <c r="B17" s="15" t="s">
        <v>67</v>
      </c>
      <c r="C17" s="98">
        <v>9985</v>
      </c>
      <c r="D17" s="100">
        <v>19000</v>
      </c>
      <c r="E17" s="16">
        <v>131</v>
      </c>
      <c r="F17" s="17">
        <v>5</v>
      </c>
      <c r="G17" s="18">
        <f>E17*(D17/31)</f>
        <v>80290.322580645152</v>
      </c>
    </row>
    <row r="18" spans="1:7" x14ac:dyDescent="0.3">
      <c r="A18" s="19">
        <v>2</v>
      </c>
      <c r="B18" s="19" t="s">
        <v>68</v>
      </c>
      <c r="C18" s="99"/>
      <c r="D18" s="101"/>
      <c r="E18" s="20">
        <v>0</v>
      </c>
      <c r="F18" s="21"/>
      <c r="G18" s="18">
        <f>E18*(D17/30/9)</f>
        <v>0</v>
      </c>
    </row>
    <row r="19" spans="1:7" x14ac:dyDescent="0.3">
      <c r="A19" s="3"/>
      <c r="B19" s="44"/>
      <c r="C19" s="3"/>
      <c r="D19" s="44"/>
      <c r="E19" s="3"/>
      <c r="F19" s="4"/>
      <c r="G19" s="4"/>
    </row>
    <row r="20" spans="1:7" x14ac:dyDescent="0.3">
      <c r="A20" s="5"/>
      <c r="B20" s="28"/>
      <c r="C20" s="5"/>
      <c r="D20" s="28"/>
      <c r="E20" s="5"/>
      <c r="F20" s="6"/>
      <c r="G20" s="6"/>
    </row>
    <row r="21" spans="1:7" x14ac:dyDescent="0.3">
      <c r="A21" s="22"/>
      <c r="B21" s="23"/>
      <c r="C21" s="24"/>
      <c r="D21" s="25"/>
      <c r="E21" s="26"/>
      <c r="G21" s="27"/>
    </row>
    <row r="22" spans="1:7" x14ac:dyDescent="0.3">
      <c r="A22" s="22"/>
      <c r="B22" s="23"/>
      <c r="C22" s="24"/>
      <c r="D22" s="25"/>
      <c r="E22" s="26"/>
      <c r="G22" s="27"/>
    </row>
    <row r="23" spans="1:7" x14ac:dyDescent="0.3">
      <c r="A23" s="22"/>
      <c r="B23" s="23"/>
      <c r="C23" s="24"/>
      <c r="D23" s="25"/>
      <c r="E23" s="26"/>
      <c r="G23" s="27"/>
    </row>
    <row r="24" spans="1:7" x14ac:dyDescent="0.3">
      <c r="A24" s="22"/>
      <c r="B24" s="23"/>
      <c r="C24" s="24"/>
      <c r="D24" s="25"/>
      <c r="E24" s="26"/>
      <c r="G24" s="27"/>
    </row>
    <row r="25" spans="1:7" x14ac:dyDescent="0.3">
      <c r="A25" s="22"/>
      <c r="B25" s="23"/>
      <c r="C25" s="24"/>
      <c r="D25" s="25"/>
      <c r="E25" s="26"/>
      <c r="G25" s="27"/>
    </row>
    <row r="26" spans="1:7" x14ac:dyDescent="0.3">
      <c r="A26" s="24"/>
      <c r="B26" s="23"/>
      <c r="C26" s="24"/>
      <c r="D26" s="28"/>
      <c r="E26" s="26"/>
      <c r="G26" s="27"/>
    </row>
    <row r="27" spans="1:7" x14ac:dyDescent="0.3">
      <c r="A27" s="28"/>
      <c r="B27" s="6"/>
      <c r="C27" s="28"/>
      <c r="D27" s="46" t="s">
        <v>16</v>
      </c>
      <c r="E27" s="1"/>
      <c r="F27" s="2"/>
      <c r="G27" s="18">
        <f>G16+G17</f>
        <v>80290.322580645152</v>
      </c>
    </row>
    <row r="28" spans="1:7" x14ac:dyDescent="0.3">
      <c r="A28" s="28"/>
      <c r="B28" s="28"/>
      <c r="C28" s="28"/>
      <c r="D28" s="102" t="s">
        <v>51</v>
      </c>
      <c r="E28" s="63"/>
      <c r="F28" s="64"/>
      <c r="G28" s="18">
        <f>G27*7%</f>
        <v>5620.322580645161</v>
      </c>
    </row>
    <row r="29" spans="1:7" ht="15" customHeight="1" x14ac:dyDescent="0.3">
      <c r="A29" s="21"/>
      <c r="B29" s="21"/>
      <c r="C29" s="21"/>
      <c r="D29" s="70" t="s">
        <v>52</v>
      </c>
      <c r="E29" s="70"/>
      <c r="F29" s="70"/>
      <c r="G29" s="18">
        <v>7000</v>
      </c>
    </row>
    <row r="30" spans="1:7" x14ac:dyDescent="0.3">
      <c r="A30" s="90" t="s">
        <v>18</v>
      </c>
      <c r="B30" s="96"/>
      <c r="C30" s="97"/>
      <c r="D30" s="103"/>
      <c r="E30" s="96"/>
      <c r="F30" s="97"/>
      <c r="G30" s="29" t="s">
        <v>50</v>
      </c>
    </row>
    <row r="31" spans="1:7" ht="14.7" customHeight="1" x14ac:dyDescent="0.3">
      <c r="A31" s="104" t="s">
        <v>19</v>
      </c>
      <c r="B31" s="105"/>
      <c r="C31" s="105"/>
      <c r="D31" s="143" t="s">
        <v>20</v>
      </c>
      <c r="E31" s="143"/>
      <c r="F31" s="143"/>
      <c r="G31" s="32">
        <f>G28+G29+G27</f>
        <v>92910.645161290318</v>
      </c>
    </row>
    <row r="32" spans="1:7" x14ac:dyDescent="0.3">
      <c r="A32" s="104" t="s">
        <v>21</v>
      </c>
      <c r="B32" s="105"/>
      <c r="C32" s="106"/>
      <c r="D32" s="31" t="s">
        <v>22</v>
      </c>
      <c r="E32" s="1"/>
      <c r="F32" s="2"/>
      <c r="G32" s="32">
        <f>G31*9%</f>
        <v>8361.9580645161277</v>
      </c>
    </row>
    <row r="33" spans="1:7" ht="14.7" customHeight="1" x14ac:dyDescent="0.3">
      <c r="A33" s="104" t="s">
        <v>23</v>
      </c>
      <c r="B33" s="105"/>
      <c r="C33" s="106"/>
      <c r="D33" s="107" t="s">
        <v>24</v>
      </c>
      <c r="E33" s="63"/>
      <c r="F33" s="64"/>
      <c r="G33" s="33">
        <f>G31*9%</f>
        <v>8361.9580645161277</v>
      </c>
    </row>
    <row r="34" spans="1:7" x14ac:dyDescent="0.3">
      <c r="A34" s="90" t="s">
        <v>25</v>
      </c>
      <c r="B34" s="91"/>
      <c r="C34" s="92"/>
      <c r="D34" s="90"/>
      <c r="E34" s="96"/>
      <c r="F34" s="97"/>
      <c r="G34" s="34"/>
    </row>
    <row r="35" spans="1:7" x14ac:dyDescent="0.3">
      <c r="A35" s="93"/>
      <c r="B35" s="94"/>
      <c r="C35" s="95"/>
      <c r="D35" s="93" t="s">
        <v>20</v>
      </c>
      <c r="E35" s="70"/>
      <c r="F35" s="69"/>
      <c r="G35" s="49">
        <f>SUM(G31+G32+G33)</f>
        <v>109634.56129032258</v>
      </c>
    </row>
    <row r="36" spans="1:7" x14ac:dyDescent="0.3">
      <c r="A36" s="104" t="s">
        <v>90</v>
      </c>
      <c r="B36" s="105"/>
      <c r="C36" s="106"/>
      <c r="D36" s="94" t="s">
        <v>72</v>
      </c>
      <c r="E36" s="70"/>
      <c r="F36" s="69"/>
      <c r="G36" s="50">
        <v>0.56000000000000005</v>
      </c>
    </row>
    <row r="37" spans="1:7" ht="15.6" x14ac:dyDescent="0.3">
      <c r="A37" s="57" t="s">
        <v>89</v>
      </c>
      <c r="B37" s="58"/>
      <c r="C37" s="108"/>
      <c r="D37" s="140" t="s">
        <v>66</v>
      </c>
      <c r="E37" s="141"/>
      <c r="F37" s="142"/>
      <c r="G37" s="51">
        <f>G35-G36</f>
        <v>109634.00129032259</v>
      </c>
    </row>
    <row r="38" spans="1:7" ht="15" customHeight="1" x14ac:dyDescent="0.3">
      <c r="A38" s="78" t="s">
        <v>27</v>
      </c>
      <c r="B38" s="109"/>
      <c r="C38" s="110"/>
      <c r="D38" s="117" t="s">
        <v>42</v>
      </c>
      <c r="E38" s="118"/>
      <c r="F38" s="118"/>
      <c r="G38" s="119"/>
    </row>
    <row r="39" spans="1:7" x14ac:dyDescent="0.3">
      <c r="A39" s="111"/>
      <c r="B39" s="112"/>
      <c r="C39" s="113"/>
      <c r="D39" s="120"/>
      <c r="E39" s="121"/>
      <c r="F39" s="121"/>
      <c r="G39" s="122"/>
    </row>
    <row r="40" spans="1:7" ht="14.4" customHeight="1" x14ac:dyDescent="0.3">
      <c r="A40" s="111"/>
      <c r="B40" s="112"/>
      <c r="C40" s="113"/>
      <c r="D40" s="120"/>
      <c r="E40" s="121"/>
      <c r="F40" s="121"/>
      <c r="G40" s="122"/>
    </row>
    <row r="41" spans="1:7" ht="14.4" customHeight="1" x14ac:dyDescent="0.3">
      <c r="A41" s="111"/>
      <c r="B41" s="112"/>
      <c r="C41" s="113"/>
      <c r="D41" s="120"/>
      <c r="E41" s="121"/>
      <c r="F41" s="121"/>
      <c r="G41" s="122"/>
    </row>
    <row r="42" spans="1:7" ht="14.4" customHeight="1" x14ac:dyDescent="0.3">
      <c r="A42" s="111"/>
      <c r="B42" s="112"/>
      <c r="C42" s="113"/>
      <c r="D42" s="120"/>
      <c r="E42" s="121"/>
      <c r="F42" s="121"/>
      <c r="G42" s="122"/>
    </row>
    <row r="43" spans="1:7" ht="14.4" customHeight="1" x14ac:dyDescent="0.3">
      <c r="A43" s="114"/>
      <c r="B43" s="115"/>
      <c r="C43" s="116"/>
      <c r="D43" s="123"/>
      <c r="E43" s="124"/>
      <c r="F43" s="124"/>
      <c r="G43" s="125"/>
    </row>
    <row r="45" spans="1:7" ht="14.4" customHeight="1" x14ac:dyDescent="0.3"/>
    <row r="46" spans="1:7" ht="14.4" customHeight="1" x14ac:dyDescent="0.3"/>
    <row r="47" spans="1:7" ht="14.4" customHeight="1" x14ac:dyDescent="0.3"/>
  </sheetData>
  <mergeCells count="41">
    <mergeCell ref="F11:G11"/>
    <mergeCell ref="A1:E1"/>
    <mergeCell ref="F1:G1"/>
    <mergeCell ref="A2:E2"/>
    <mergeCell ref="A3:E3"/>
    <mergeCell ref="A4:E4"/>
    <mergeCell ref="A5:E5"/>
    <mergeCell ref="A7:E7"/>
    <mergeCell ref="F7:G7"/>
    <mergeCell ref="A8:E8"/>
    <mergeCell ref="F9:G9"/>
    <mergeCell ref="F3:G3"/>
    <mergeCell ref="F10:G10"/>
    <mergeCell ref="F12:G12"/>
    <mergeCell ref="A13:G14"/>
    <mergeCell ref="A15:A16"/>
    <mergeCell ref="B15:B16"/>
    <mergeCell ref="C15:C16"/>
    <mergeCell ref="D15:D16"/>
    <mergeCell ref="E15:E16"/>
    <mergeCell ref="F15:F16"/>
    <mergeCell ref="A31:C31"/>
    <mergeCell ref="D31:F31"/>
    <mergeCell ref="A32:C32"/>
    <mergeCell ref="A33:C33"/>
    <mergeCell ref="D33:F33"/>
    <mergeCell ref="C17:C18"/>
    <mergeCell ref="D17:D18"/>
    <mergeCell ref="D28:F28"/>
    <mergeCell ref="D29:F29"/>
    <mergeCell ref="A30:C30"/>
    <mergeCell ref="D30:F30"/>
    <mergeCell ref="A36:C36"/>
    <mergeCell ref="D36:F36"/>
    <mergeCell ref="A37:C37"/>
    <mergeCell ref="D35:F35"/>
    <mergeCell ref="A38:C43"/>
    <mergeCell ref="D38:G43"/>
    <mergeCell ref="D37:F37"/>
    <mergeCell ref="A34:C35"/>
    <mergeCell ref="D34:F34"/>
  </mergeCells>
  <pageMargins left="0.7" right="0.7" top="0.75" bottom="0.75" header="0.3" footer="0.3"/>
  <pageSetup paperSize="9" scale="90" fitToHeight="0" orientation="portrait" horizontalDpi="4294967293" r:id="rId1"/>
  <headerFooter>
    <oddHeader xml:space="preserve">&amp;CPROFORM INVOICE
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03FE-FD2F-4270-9951-5B80542B8929}">
  <sheetPr>
    <pageSetUpPr fitToPage="1"/>
  </sheetPr>
  <dimension ref="A1:G47"/>
  <sheetViews>
    <sheetView view="pageLayout" topLeftCell="A27" zoomScale="110" zoomScaleNormal="100" zoomScalePageLayoutView="110" workbookViewId="0">
      <selection activeCell="D10" sqref="D10"/>
    </sheetView>
  </sheetViews>
  <sheetFormatPr defaultRowHeight="14.4" x14ac:dyDescent="0.3"/>
  <cols>
    <col min="1" max="1" width="5.33203125" customWidth="1"/>
    <col min="2" max="2" width="27.88671875" customWidth="1"/>
    <col min="3" max="3" width="9.5546875" bestFit="1" customWidth="1"/>
    <col min="4" max="4" width="8.44140625" customWidth="1"/>
    <col min="5" max="5" width="9.44140625" customWidth="1"/>
    <col min="6" max="6" width="13.5546875" customWidth="1"/>
    <col min="7" max="7" width="22.21875" customWidth="1"/>
    <col min="8" max="8" width="11.44140625" bestFit="1" customWidth="1"/>
  </cols>
  <sheetData>
    <row r="1" spans="1:7" ht="23.4" x14ac:dyDescent="0.45">
      <c r="A1" s="126" t="s">
        <v>0</v>
      </c>
      <c r="B1" s="127"/>
      <c r="C1" s="127"/>
      <c r="D1" s="127"/>
      <c r="E1" s="127"/>
      <c r="F1" s="63"/>
      <c r="G1" s="64"/>
    </row>
    <row r="2" spans="1:7" x14ac:dyDescent="0.3">
      <c r="A2" s="65" t="s">
        <v>30</v>
      </c>
      <c r="B2" s="66"/>
      <c r="C2" s="66"/>
      <c r="D2" s="66"/>
      <c r="E2" s="67"/>
      <c r="F2" s="3"/>
      <c r="G2" s="4"/>
    </row>
    <row r="3" spans="1:7" x14ac:dyDescent="0.3">
      <c r="A3" s="65" t="s">
        <v>1</v>
      </c>
      <c r="B3" s="66"/>
      <c r="C3" s="66"/>
      <c r="D3" s="66"/>
      <c r="E3" s="67"/>
      <c r="F3" s="68" t="s">
        <v>96</v>
      </c>
      <c r="G3" s="69"/>
    </row>
    <row r="4" spans="1:7" x14ac:dyDescent="0.3">
      <c r="A4" s="68" t="s">
        <v>2</v>
      </c>
      <c r="B4" s="70"/>
      <c r="C4" s="70"/>
      <c r="D4" s="70"/>
      <c r="E4" s="70"/>
      <c r="F4" s="5" t="s">
        <v>95</v>
      </c>
      <c r="G4" s="6"/>
    </row>
    <row r="5" spans="1:7" x14ac:dyDescent="0.3">
      <c r="A5" s="68" t="s">
        <v>3</v>
      </c>
      <c r="B5" s="70"/>
      <c r="C5" s="70"/>
      <c r="D5" s="70"/>
      <c r="E5" s="70"/>
      <c r="F5" s="7"/>
      <c r="G5" s="45"/>
    </row>
    <row r="6" spans="1:7" x14ac:dyDescent="0.3">
      <c r="A6" s="7" t="s">
        <v>4</v>
      </c>
      <c r="B6" s="8"/>
      <c r="C6" s="8"/>
      <c r="D6" s="8"/>
      <c r="E6" s="8"/>
      <c r="F6" s="5"/>
      <c r="G6" s="6"/>
    </row>
    <row r="7" spans="1:7" x14ac:dyDescent="0.3">
      <c r="A7" s="71" t="s">
        <v>5</v>
      </c>
      <c r="B7" s="72"/>
      <c r="C7" s="72"/>
      <c r="D7" s="72"/>
      <c r="E7" s="72"/>
      <c r="F7" s="71" t="s">
        <v>54</v>
      </c>
      <c r="G7" s="73"/>
    </row>
    <row r="8" spans="1:7" x14ac:dyDescent="0.3">
      <c r="A8" s="133" t="s">
        <v>43</v>
      </c>
      <c r="B8" s="134"/>
      <c r="C8" s="134"/>
      <c r="D8" s="134"/>
      <c r="E8" s="134"/>
      <c r="F8" s="9"/>
      <c r="G8" s="10"/>
    </row>
    <row r="9" spans="1:7" x14ac:dyDescent="0.3">
      <c r="A9" s="37" t="s">
        <v>44</v>
      </c>
      <c r="B9" s="12"/>
      <c r="C9" s="12"/>
      <c r="D9" s="12"/>
      <c r="E9" s="12"/>
      <c r="F9" s="104" t="s">
        <v>69</v>
      </c>
      <c r="G9" s="106"/>
    </row>
    <row r="10" spans="1:7" x14ac:dyDescent="0.3">
      <c r="A10" s="13" t="s">
        <v>45</v>
      </c>
      <c r="B10" s="14"/>
      <c r="C10" s="14"/>
      <c r="D10" s="14"/>
      <c r="E10" s="14"/>
      <c r="F10" s="68" t="s">
        <v>70</v>
      </c>
      <c r="G10" s="69"/>
    </row>
    <row r="11" spans="1:7" x14ac:dyDescent="0.3">
      <c r="A11" s="38" t="s">
        <v>46</v>
      </c>
      <c r="B11" s="39"/>
      <c r="C11" s="39"/>
      <c r="D11" s="39"/>
      <c r="E11" s="39"/>
      <c r="F11" s="135" t="s">
        <v>71</v>
      </c>
      <c r="G11" s="136"/>
    </row>
    <row r="12" spans="1:7" x14ac:dyDescent="0.3">
      <c r="A12" s="40" t="s">
        <v>47</v>
      </c>
      <c r="B12" s="41"/>
      <c r="C12" s="41"/>
      <c r="D12" s="41"/>
      <c r="E12" s="41"/>
      <c r="F12" s="59"/>
      <c r="G12" s="60"/>
    </row>
    <row r="13" spans="1:7" ht="14.4" customHeight="1" x14ac:dyDescent="0.3">
      <c r="A13" s="78" t="s">
        <v>29</v>
      </c>
      <c r="B13" s="79"/>
      <c r="C13" s="79"/>
      <c r="D13" s="79"/>
      <c r="E13" s="79"/>
      <c r="F13" s="79"/>
      <c r="G13" s="80"/>
    </row>
    <row r="14" spans="1:7" x14ac:dyDescent="0.3">
      <c r="A14" s="81"/>
      <c r="B14" s="82"/>
      <c r="C14" s="82"/>
      <c r="D14" s="82"/>
      <c r="E14" s="82"/>
      <c r="F14" s="82"/>
      <c r="G14" s="83"/>
    </row>
    <row r="15" spans="1:7" ht="14.4" customHeight="1" x14ac:dyDescent="0.3">
      <c r="A15" s="84" t="s">
        <v>9</v>
      </c>
      <c r="B15" s="84" t="s">
        <v>10</v>
      </c>
      <c r="C15" s="84" t="s">
        <v>48</v>
      </c>
      <c r="D15" s="84" t="s">
        <v>11</v>
      </c>
      <c r="E15" s="86" t="s">
        <v>49</v>
      </c>
      <c r="F15" s="84" t="s">
        <v>12</v>
      </c>
      <c r="G15" s="42" t="s">
        <v>13</v>
      </c>
    </row>
    <row r="16" spans="1:7" x14ac:dyDescent="0.3">
      <c r="A16" s="85"/>
      <c r="B16" s="85"/>
      <c r="C16" s="85"/>
      <c r="D16" s="85"/>
      <c r="E16" s="89"/>
      <c r="F16" s="85"/>
      <c r="G16" s="43"/>
    </row>
    <row r="17" spans="1:7" x14ac:dyDescent="0.3">
      <c r="A17" s="15">
        <v>1</v>
      </c>
      <c r="B17" s="15" t="s">
        <v>67</v>
      </c>
      <c r="C17" s="98">
        <v>9985</v>
      </c>
      <c r="D17" s="100">
        <v>19000</v>
      </c>
      <c r="E17" s="16">
        <v>131</v>
      </c>
      <c r="F17" s="17">
        <v>5</v>
      </c>
      <c r="G17" s="18">
        <f>E17*(D17/31)</f>
        <v>80290.322580645152</v>
      </c>
    </row>
    <row r="18" spans="1:7" x14ac:dyDescent="0.3">
      <c r="A18" s="19">
        <v>2</v>
      </c>
      <c r="B18" s="19" t="s">
        <v>68</v>
      </c>
      <c r="C18" s="99"/>
      <c r="D18" s="101"/>
      <c r="E18" s="20">
        <v>0</v>
      </c>
      <c r="F18" s="21"/>
      <c r="G18" s="18">
        <f>E18*(D17/30/9)</f>
        <v>0</v>
      </c>
    </row>
    <row r="19" spans="1:7" x14ac:dyDescent="0.3">
      <c r="A19" s="3"/>
      <c r="B19" s="44"/>
      <c r="C19" s="3"/>
      <c r="D19" s="44"/>
      <c r="E19" s="3"/>
      <c r="F19" s="4"/>
      <c r="G19" s="4"/>
    </row>
    <row r="20" spans="1:7" x14ac:dyDescent="0.3">
      <c r="A20" s="5"/>
      <c r="B20" s="28"/>
      <c r="C20" s="5"/>
      <c r="D20" s="28"/>
      <c r="E20" s="5"/>
      <c r="F20" s="6"/>
      <c r="G20" s="6"/>
    </row>
    <row r="21" spans="1:7" x14ac:dyDescent="0.3">
      <c r="A21" s="22"/>
      <c r="B21" s="23"/>
      <c r="C21" s="24"/>
      <c r="D21" s="25"/>
      <c r="E21" s="26"/>
      <c r="G21" s="27"/>
    </row>
    <row r="22" spans="1:7" x14ac:dyDescent="0.3">
      <c r="A22" s="22"/>
      <c r="B22" s="23"/>
      <c r="C22" s="24"/>
      <c r="D22" s="25"/>
      <c r="E22" s="26"/>
      <c r="G22" s="27"/>
    </row>
    <row r="23" spans="1:7" x14ac:dyDescent="0.3">
      <c r="A23" s="22"/>
      <c r="B23" s="23"/>
      <c r="C23" s="24"/>
      <c r="D23" s="25"/>
      <c r="E23" s="26"/>
      <c r="G23" s="27"/>
    </row>
    <row r="24" spans="1:7" x14ac:dyDescent="0.3">
      <c r="A24" s="22"/>
      <c r="B24" s="23"/>
      <c r="C24" s="24"/>
      <c r="D24" s="25"/>
      <c r="E24" s="26"/>
      <c r="G24" s="27"/>
    </row>
    <row r="25" spans="1:7" x14ac:dyDescent="0.3">
      <c r="A25" s="22"/>
      <c r="B25" s="23"/>
      <c r="C25" s="24"/>
      <c r="D25" s="25"/>
      <c r="E25" s="26"/>
      <c r="G25" s="27"/>
    </row>
    <row r="26" spans="1:7" x14ac:dyDescent="0.3">
      <c r="A26" s="24"/>
      <c r="B26" s="23"/>
      <c r="C26" s="24"/>
      <c r="D26" s="28"/>
      <c r="E26" s="26"/>
      <c r="G26" s="27"/>
    </row>
    <row r="27" spans="1:7" x14ac:dyDescent="0.3">
      <c r="A27" s="28"/>
      <c r="B27" s="6"/>
      <c r="C27" s="28"/>
      <c r="D27" s="46" t="s">
        <v>16</v>
      </c>
      <c r="E27" s="1"/>
      <c r="F27" s="2"/>
      <c r="G27" s="18">
        <f>G16+G17</f>
        <v>80290.322580645152</v>
      </c>
    </row>
    <row r="28" spans="1:7" x14ac:dyDescent="0.3">
      <c r="A28" s="28"/>
      <c r="B28" s="28"/>
      <c r="C28" s="28"/>
      <c r="D28" s="102" t="s">
        <v>51</v>
      </c>
      <c r="E28" s="63"/>
      <c r="F28" s="64"/>
      <c r="G28" s="18">
        <f>G27*7%</f>
        <v>5620.322580645161</v>
      </c>
    </row>
    <row r="29" spans="1:7" ht="15" customHeight="1" x14ac:dyDescent="0.3">
      <c r="A29" s="21"/>
      <c r="B29" s="21"/>
      <c r="C29" s="21"/>
      <c r="D29" s="70" t="s">
        <v>52</v>
      </c>
      <c r="E29" s="70"/>
      <c r="F29" s="70"/>
      <c r="G29" s="18">
        <v>7000</v>
      </c>
    </row>
    <row r="30" spans="1:7" x14ac:dyDescent="0.3">
      <c r="A30" s="90" t="s">
        <v>18</v>
      </c>
      <c r="B30" s="96"/>
      <c r="C30" s="97"/>
      <c r="D30" s="103"/>
      <c r="E30" s="96"/>
      <c r="F30" s="97"/>
      <c r="G30" s="29" t="s">
        <v>50</v>
      </c>
    </row>
    <row r="31" spans="1:7" ht="14.7" customHeight="1" x14ac:dyDescent="0.3">
      <c r="A31" s="104" t="s">
        <v>19</v>
      </c>
      <c r="B31" s="105"/>
      <c r="C31" s="105"/>
      <c r="D31" s="143" t="s">
        <v>20</v>
      </c>
      <c r="E31" s="143"/>
      <c r="F31" s="143"/>
      <c r="G31" s="32">
        <f>G28+G29+G27</f>
        <v>92910.645161290318</v>
      </c>
    </row>
    <row r="32" spans="1:7" x14ac:dyDescent="0.3">
      <c r="A32" s="104" t="s">
        <v>21</v>
      </c>
      <c r="B32" s="105"/>
      <c r="C32" s="106"/>
      <c r="D32" s="31" t="s">
        <v>22</v>
      </c>
      <c r="E32" s="1"/>
      <c r="F32" s="2"/>
      <c r="G32" s="32">
        <f>G31*9%</f>
        <v>8361.9580645161277</v>
      </c>
    </row>
    <row r="33" spans="1:7" ht="14.7" customHeight="1" x14ac:dyDescent="0.3">
      <c r="A33" s="104" t="s">
        <v>23</v>
      </c>
      <c r="B33" s="105"/>
      <c r="C33" s="106"/>
      <c r="D33" s="107" t="s">
        <v>24</v>
      </c>
      <c r="E33" s="63"/>
      <c r="F33" s="64"/>
      <c r="G33" s="33">
        <f>G31*9%</f>
        <v>8361.9580645161277</v>
      </c>
    </row>
    <row r="34" spans="1:7" x14ac:dyDescent="0.3">
      <c r="A34" s="90" t="s">
        <v>25</v>
      </c>
      <c r="B34" s="91"/>
      <c r="C34" s="92"/>
      <c r="D34" s="90"/>
      <c r="E34" s="96"/>
      <c r="F34" s="97"/>
      <c r="G34" s="34"/>
    </row>
    <row r="35" spans="1:7" x14ac:dyDescent="0.3">
      <c r="A35" s="93"/>
      <c r="B35" s="94"/>
      <c r="C35" s="95"/>
      <c r="D35" s="93" t="s">
        <v>20</v>
      </c>
      <c r="E35" s="70"/>
      <c r="F35" s="69"/>
      <c r="G35" s="49">
        <f>SUM(G31+G32+G33)</f>
        <v>109634.56129032258</v>
      </c>
    </row>
    <row r="36" spans="1:7" x14ac:dyDescent="0.3">
      <c r="A36" s="104" t="s">
        <v>90</v>
      </c>
      <c r="B36" s="105"/>
      <c r="C36" s="106"/>
      <c r="D36" s="94" t="s">
        <v>72</v>
      </c>
      <c r="E36" s="70"/>
      <c r="F36" s="69"/>
      <c r="G36" s="50">
        <v>0.56000000000000005</v>
      </c>
    </row>
    <row r="37" spans="1:7" ht="15.6" x14ac:dyDescent="0.3">
      <c r="A37" s="57" t="s">
        <v>89</v>
      </c>
      <c r="B37" s="58"/>
      <c r="C37" s="108"/>
      <c r="D37" s="140" t="s">
        <v>66</v>
      </c>
      <c r="E37" s="141"/>
      <c r="F37" s="142"/>
      <c r="G37" s="51">
        <f>G35-G36</f>
        <v>109634.00129032259</v>
      </c>
    </row>
    <row r="38" spans="1:7" ht="15" customHeight="1" x14ac:dyDescent="0.3">
      <c r="A38" s="78" t="s">
        <v>27</v>
      </c>
      <c r="B38" s="109"/>
      <c r="C38" s="110"/>
      <c r="D38" s="117" t="s">
        <v>42</v>
      </c>
      <c r="E38" s="118"/>
      <c r="F38" s="118"/>
      <c r="G38" s="119"/>
    </row>
    <row r="39" spans="1:7" x14ac:dyDescent="0.3">
      <c r="A39" s="111"/>
      <c r="B39" s="112"/>
      <c r="C39" s="113"/>
      <c r="D39" s="120"/>
      <c r="E39" s="121"/>
      <c r="F39" s="121"/>
      <c r="G39" s="122"/>
    </row>
    <row r="40" spans="1:7" ht="14.4" customHeight="1" x14ac:dyDescent="0.3">
      <c r="A40" s="111"/>
      <c r="B40" s="112"/>
      <c r="C40" s="113"/>
      <c r="D40" s="120"/>
      <c r="E40" s="121"/>
      <c r="F40" s="121"/>
      <c r="G40" s="122"/>
    </row>
    <row r="41" spans="1:7" ht="14.4" customHeight="1" x14ac:dyDescent="0.3">
      <c r="A41" s="111"/>
      <c r="B41" s="112"/>
      <c r="C41" s="113"/>
      <c r="D41" s="120"/>
      <c r="E41" s="121"/>
      <c r="F41" s="121"/>
      <c r="G41" s="122"/>
    </row>
    <row r="42" spans="1:7" ht="14.4" customHeight="1" x14ac:dyDescent="0.3">
      <c r="A42" s="111"/>
      <c r="B42" s="112"/>
      <c r="C42" s="113"/>
      <c r="D42" s="120"/>
      <c r="E42" s="121"/>
      <c r="F42" s="121"/>
      <c r="G42" s="122"/>
    </row>
    <row r="43" spans="1:7" ht="14.4" customHeight="1" x14ac:dyDescent="0.3">
      <c r="A43" s="114"/>
      <c r="B43" s="115"/>
      <c r="C43" s="116"/>
      <c r="D43" s="123"/>
      <c r="E43" s="124"/>
      <c r="F43" s="124"/>
      <c r="G43" s="125"/>
    </row>
    <row r="45" spans="1:7" ht="14.4" customHeight="1" x14ac:dyDescent="0.3"/>
    <row r="46" spans="1:7" ht="14.4" customHeight="1" x14ac:dyDescent="0.3"/>
    <row r="47" spans="1:7" ht="14.4" customHeight="1" x14ac:dyDescent="0.3"/>
  </sheetData>
  <mergeCells count="41">
    <mergeCell ref="A36:C36"/>
    <mergeCell ref="D36:F36"/>
    <mergeCell ref="A37:C37"/>
    <mergeCell ref="D37:F37"/>
    <mergeCell ref="A38:C43"/>
    <mergeCell ref="D38:G43"/>
    <mergeCell ref="A31:C31"/>
    <mergeCell ref="D31:F31"/>
    <mergeCell ref="A32:C32"/>
    <mergeCell ref="A33:C33"/>
    <mergeCell ref="D33:F33"/>
    <mergeCell ref="A34:C35"/>
    <mergeCell ref="D34:F34"/>
    <mergeCell ref="D35:F35"/>
    <mergeCell ref="C17:C18"/>
    <mergeCell ref="D17:D18"/>
    <mergeCell ref="D28:F28"/>
    <mergeCell ref="D29:F29"/>
    <mergeCell ref="A30:C30"/>
    <mergeCell ref="D30:F30"/>
    <mergeCell ref="F11:G11"/>
    <mergeCell ref="F12:G12"/>
    <mergeCell ref="A13:G14"/>
    <mergeCell ref="A15:A16"/>
    <mergeCell ref="B15:B16"/>
    <mergeCell ref="C15:C16"/>
    <mergeCell ref="D15:D16"/>
    <mergeCell ref="E15:E16"/>
    <mergeCell ref="F15:F16"/>
    <mergeCell ref="A5:E5"/>
    <mergeCell ref="A7:E7"/>
    <mergeCell ref="F7:G7"/>
    <mergeCell ref="A8:E8"/>
    <mergeCell ref="F9:G9"/>
    <mergeCell ref="F10:G10"/>
    <mergeCell ref="A1:E1"/>
    <mergeCell ref="F1:G1"/>
    <mergeCell ref="A2:E2"/>
    <mergeCell ref="A3:E3"/>
    <mergeCell ref="F3:G3"/>
    <mergeCell ref="A4:E4"/>
  </mergeCells>
  <pageMargins left="0.7" right="0.7" top="0.75" bottom="0.75" header="0.3" footer="0.3"/>
  <pageSetup paperSize="9" scale="90" fitToHeight="0" orientation="portrait" horizontalDpi="4294967293" r:id="rId1"/>
  <headerFooter>
    <oddHeader xml:space="preserve">&amp;CTAX INVOICE
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F8E8-F49F-4D5E-8A27-8FA69FF43BC8}">
  <sheetPr>
    <pageSetUpPr fitToPage="1"/>
  </sheetPr>
  <dimension ref="A1:G47"/>
  <sheetViews>
    <sheetView view="pageLayout" topLeftCell="A4" zoomScale="119" zoomScaleNormal="100" zoomScalePageLayoutView="119" workbookViewId="0">
      <selection activeCell="G21" sqref="G21"/>
    </sheetView>
  </sheetViews>
  <sheetFormatPr defaultRowHeight="14.4" x14ac:dyDescent="0.3"/>
  <cols>
    <col min="1" max="1" width="3.6640625" customWidth="1"/>
    <col min="2" max="2" width="29.21875" customWidth="1"/>
    <col min="3" max="3" width="8.6640625" customWidth="1"/>
    <col min="4" max="4" width="7.5546875" customWidth="1"/>
    <col min="5" max="5" width="8.88671875" customWidth="1"/>
    <col min="6" max="6" width="13.5546875" customWidth="1"/>
    <col min="7" max="7" width="22.33203125" customWidth="1"/>
    <col min="8" max="8" width="11.44140625" bestFit="1" customWidth="1"/>
  </cols>
  <sheetData>
    <row r="1" spans="1:7" ht="23.4" x14ac:dyDescent="0.45">
      <c r="A1" s="126" t="s">
        <v>0</v>
      </c>
      <c r="B1" s="127"/>
      <c r="C1" s="127"/>
      <c r="D1" s="127"/>
      <c r="E1" s="127"/>
      <c r="F1" s="63"/>
      <c r="G1" s="64"/>
    </row>
    <row r="2" spans="1:7" x14ac:dyDescent="0.3">
      <c r="A2" s="65" t="s">
        <v>30</v>
      </c>
      <c r="B2" s="66"/>
      <c r="C2" s="66"/>
      <c r="D2" s="66"/>
      <c r="E2" s="67"/>
      <c r="F2" s="3"/>
      <c r="G2" s="4"/>
    </row>
    <row r="3" spans="1:7" x14ac:dyDescent="0.3">
      <c r="A3" s="65" t="s">
        <v>1</v>
      </c>
      <c r="B3" s="66"/>
      <c r="C3" s="66"/>
      <c r="D3" s="66"/>
      <c r="E3" s="67"/>
      <c r="F3" s="68" t="s">
        <v>87</v>
      </c>
      <c r="G3" s="69"/>
    </row>
    <row r="4" spans="1:7" x14ac:dyDescent="0.3">
      <c r="A4" s="68" t="s">
        <v>2</v>
      </c>
      <c r="B4" s="70"/>
      <c r="C4" s="70"/>
      <c r="D4" s="70"/>
      <c r="E4" s="70"/>
      <c r="F4" s="5" t="s">
        <v>86</v>
      </c>
      <c r="G4" s="6"/>
    </row>
    <row r="5" spans="1:7" x14ac:dyDescent="0.3">
      <c r="A5" s="68" t="s">
        <v>3</v>
      </c>
      <c r="B5" s="70"/>
      <c r="C5" s="70"/>
      <c r="D5" s="70"/>
      <c r="E5" s="70"/>
      <c r="F5" s="7"/>
      <c r="G5" s="45"/>
    </row>
    <row r="6" spans="1:7" x14ac:dyDescent="0.3">
      <c r="A6" s="7" t="s">
        <v>4</v>
      </c>
      <c r="B6" s="8"/>
      <c r="C6" s="8"/>
      <c r="D6" s="8"/>
      <c r="E6" s="8"/>
      <c r="F6" s="5"/>
      <c r="G6" s="6"/>
    </row>
    <row r="7" spans="1:7" x14ac:dyDescent="0.3">
      <c r="A7" s="71" t="s">
        <v>5</v>
      </c>
      <c r="B7" s="72"/>
      <c r="C7" s="72"/>
      <c r="D7" s="72"/>
      <c r="E7" s="72"/>
      <c r="F7" s="71" t="s">
        <v>54</v>
      </c>
      <c r="G7" s="73"/>
    </row>
    <row r="8" spans="1:7" x14ac:dyDescent="0.3">
      <c r="A8" s="133" t="s">
        <v>43</v>
      </c>
      <c r="B8" s="134"/>
      <c r="C8" s="134"/>
      <c r="D8" s="134"/>
      <c r="E8" s="134"/>
      <c r="F8" s="9"/>
      <c r="G8" s="10"/>
    </row>
    <row r="9" spans="1:7" x14ac:dyDescent="0.3">
      <c r="A9" s="37" t="s">
        <v>44</v>
      </c>
      <c r="B9" s="12"/>
      <c r="C9" s="12"/>
      <c r="D9" s="12"/>
      <c r="E9" s="12"/>
      <c r="F9" s="104" t="s">
        <v>82</v>
      </c>
      <c r="G9" s="106"/>
    </row>
    <row r="10" spans="1:7" x14ac:dyDescent="0.3">
      <c r="A10" s="13" t="s">
        <v>45</v>
      </c>
      <c r="B10" s="14"/>
      <c r="C10" s="14"/>
      <c r="D10" s="14"/>
      <c r="E10" s="14"/>
      <c r="F10" s="68" t="s">
        <v>83</v>
      </c>
      <c r="G10" s="69"/>
    </row>
    <row r="11" spans="1:7" x14ac:dyDescent="0.3">
      <c r="A11" s="38" t="s">
        <v>46</v>
      </c>
      <c r="B11" s="39"/>
      <c r="C11" s="39"/>
      <c r="D11" s="39"/>
      <c r="E11" s="39"/>
      <c r="F11" s="135" t="s">
        <v>84</v>
      </c>
      <c r="G11" s="136"/>
    </row>
    <row r="12" spans="1:7" x14ac:dyDescent="0.3">
      <c r="A12" s="40" t="s">
        <v>47</v>
      </c>
      <c r="B12" s="41"/>
      <c r="C12" s="41"/>
      <c r="D12" s="41"/>
      <c r="E12" s="41"/>
      <c r="F12" s="59"/>
      <c r="G12" s="60"/>
    </row>
    <row r="13" spans="1:7" ht="14.4" customHeight="1" x14ac:dyDescent="0.3">
      <c r="A13" s="78" t="s">
        <v>29</v>
      </c>
      <c r="B13" s="79"/>
      <c r="C13" s="79"/>
      <c r="D13" s="79"/>
      <c r="E13" s="79"/>
      <c r="F13" s="79"/>
      <c r="G13" s="80"/>
    </row>
    <row r="14" spans="1:7" x14ac:dyDescent="0.3">
      <c r="A14" s="81"/>
      <c r="B14" s="82"/>
      <c r="C14" s="82"/>
      <c r="D14" s="82"/>
      <c r="E14" s="82"/>
      <c r="F14" s="82"/>
      <c r="G14" s="83"/>
    </row>
    <row r="15" spans="1:7" ht="14.4" customHeight="1" x14ac:dyDescent="0.3">
      <c r="A15" s="86" t="s">
        <v>85</v>
      </c>
      <c r="B15" s="84" t="s">
        <v>10</v>
      </c>
      <c r="C15" s="84" t="s">
        <v>48</v>
      </c>
      <c r="D15" s="84" t="s">
        <v>11</v>
      </c>
      <c r="E15" s="86" t="s">
        <v>49</v>
      </c>
      <c r="F15" s="84" t="s">
        <v>12</v>
      </c>
      <c r="G15" s="42" t="s">
        <v>13</v>
      </c>
    </row>
    <row r="16" spans="1:7" x14ac:dyDescent="0.3">
      <c r="A16" s="85"/>
      <c r="B16" s="85"/>
      <c r="C16" s="85"/>
      <c r="D16" s="85"/>
      <c r="E16" s="89"/>
      <c r="F16" s="85"/>
      <c r="G16" s="43"/>
    </row>
    <row r="17" spans="1:7" x14ac:dyDescent="0.3">
      <c r="A17" s="15">
        <v>1</v>
      </c>
      <c r="B17" s="15" t="s">
        <v>79</v>
      </c>
      <c r="C17" s="98">
        <v>9985</v>
      </c>
      <c r="D17" s="100">
        <v>25000</v>
      </c>
      <c r="E17" s="16">
        <v>62</v>
      </c>
      <c r="F17" s="17">
        <v>2</v>
      </c>
      <c r="G17" s="18">
        <f>E17*(D17/31)</f>
        <v>50000</v>
      </c>
    </row>
    <row r="18" spans="1:7" x14ac:dyDescent="0.3">
      <c r="A18" s="19">
        <v>2</v>
      </c>
      <c r="B18" s="19" t="s">
        <v>80</v>
      </c>
      <c r="C18" s="99"/>
      <c r="D18" s="101"/>
      <c r="E18" s="20">
        <v>0</v>
      </c>
      <c r="F18" s="21"/>
      <c r="G18" s="18">
        <f>E18*(D17/30/9)</f>
        <v>0</v>
      </c>
    </row>
    <row r="19" spans="1:7" x14ac:dyDescent="0.3">
      <c r="A19" s="3"/>
      <c r="B19" s="44"/>
      <c r="C19" s="3"/>
      <c r="D19" s="44"/>
      <c r="E19" s="3"/>
      <c r="F19" s="4"/>
      <c r="G19" s="4"/>
    </row>
    <row r="20" spans="1:7" x14ac:dyDescent="0.3">
      <c r="A20" s="5"/>
      <c r="B20" s="28"/>
      <c r="C20" s="5"/>
      <c r="D20" s="28"/>
      <c r="E20" s="5"/>
      <c r="F20" s="6"/>
      <c r="G20" s="6"/>
    </row>
    <row r="21" spans="1:7" x14ac:dyDescent="0.3">
      <c r="A21" s="22"/>
      <c r="B21" s="23"/>
      <c r="C21" s="24"/>
      <c r="D21" s="25"/>
      <c r="E21" s="26"/>
      <c r="G21" s="27"/>
    </row>
    <row r="22" spans="1:7" x14ac:dyDescent="0.3">
      <c r="A22" s="22"/>
      <c r="B22" s="23"/>
      <c r="C22" s="24"/>
      <c r="D22" s="25"/>
      <c r="E22" s="26"/>
      <c r="G22" s="27"/>
    </row>
    <row r="23" spans="1:7" x14ac:dyDescent="0.3">
      <c r="A23" s="22"/>
      <c r="B23" s="23"/>
      <c r="C23" s="24"/>
      <c r="D23" s="25"/>
      <c r="E23" s="26"/>
      <c r="G23" s="27"/>
    </row>
    <row r="24" spans="1:7" x14ac:dyDescent="0.3">
      <c r="A24" s="22"/>
      <c r="B24" s="23"/>
      <c r="C24" s="24"/>
      <c r="D24" s="25"/>
      <c r="E24" s="26"/>
      <c r="G24" s="27"/>
    </row>
    <row r="25" spans="1:7" x14ac:dyDescent="0.3">
      <c r="A25" s="22"/>
      <c r="B25" s="23"/>
      <c r="C25" s="24"/>
      <c r="D25" s="25"/>
      <c r="E25" s="26"/>
      <c r="G25" s="27"/>
    </row>
    <row r="26" spans="1:7" x14ac:dyDescent="0.3">
      <c r="A26" s="24"/>
      <c r="B26" s="23"/>
      <c r="C26" s="24"/>
      <c r="D26" s="28"/>
      <c r="E26" s="26"/>
      <c r="G26" s="27"/>
    </row>
    <row r="27" spans="1:7" x14ac:dyDescent="0.3">
      <c r="A27" s="28"/>
      <c r="B27" s="6"/>
      <c r="C27" s="28"/>
      <c r="D27" s="46" t="s">
        <v>16</v>
      </c>
      <c r="E27" s="1"/>
      <c r="F27" s="2"/>
      <c r="G27" s="18">
        <f>G16+G17</f>
        <v>50000</v>
      </c>
    </row>
    <row r="28" spans="1:7" x14ac:dyDescent="0.3">
      <c r="A28" s="28"/>
      <c r="B28" s="28"/>
      <c r="C28" s="28"/>
      <c r="D28" s="102" t="s">
        <v>51</v>
      </c>
      <c r="E28" s="63"/>
      <c r="F28" s="64"/>
      <c r="G28" s="18">
        <f>G27*7%</f>
        <v>3500.0000000000005</v>
      </c>
    </row>
    <row r="29" spans="1:7" ht="15" customHeight="1" x14ac:dyDescent="0.3">
      <c r="A29" s="21"/>
      <c r="B29" s="21"/>
      <c r="C29" s="21"/>
      <c r="D29" s="70" t="s">
        <v>52</v>
      </c>
      <c r="E29" s="70"/>
      <c r="F29" s="70"/>
      <c r="G29" s="18">
        <v>0</v>
      </c>
    </row>
    <row r="30" spans="1:7" x14ac:dyDescent="0.3">
      <c r="A30" s="90" t="s">
        <v>18</v>
      </c>
      <c r="B30" s="96"/>
      <c r="C30" s="97"/>
      <c r="D30" s="103"/>
      <c r="E30" s="96"/>
      <c r="F30" s="97"/>
      <c r="G30" s="29" t="s">
        <v>50</v>
      </c>
    </row>
    <row r="31" spans="1:7" ht="14.7" customHeight="1" x14ac:dyDescent="0.3">
      <c r="A31" s="104" t="s">
        <v>19</v>
      </c>
      <c r="B31" s="105"/>
      <c r="C31" s="105"/>
      <c r="D31" s="93" t="s">
        <v>20</v>
      </c>
      <c r="E31" s="94"/>
      <c r="F31" s="95"/>
      <c r="G31" s="30">
        <f>G28+G29+G27</f>
        <v>53500</v>
      </c>
    </row>
    <row r="32" spans="1:7" x14ac:dyDescent="0.3">
      <c r="A32" s="104" t="s">
        <v>21</v>
      </c>
      <c r="B32" s="105"/>
      <c r="C32" s="106"/>
      <c r="D32" s="31" t="s">
        <v>22</v>
      </c>
      <c r="E32" s="1"/>
      <c r="F32" s="2"/>
      <c r="G32" s="32">
        <f>G31*9%</f>
        <v>4815</v>
      </c>
    </row>
    <row r="33" spans="1:7" ht="14.7" customHeight="1" x14ac:dyDescent="0.3">
      <c r="A33" s="104" t="s">
        <v>23</v>
      </c>
      <c r="B33" s="105"/>
      <c r="C33" s="106"/>
      <c r="D33" s="107" t="s">
        <v>24</v>
      </c>
      <c r="E33" s="63"/>
      <c r="F33" s="64"/>
      <c r="G33" s="33">
        <f>G31*9%</f>
        <v>4815</v>
      </c>
    </row>
    <row r="34" spans="1:7" x14ac:dyDescent="0.3">
      <c r="A34" s="90" t="s">
        <v>25</v>
      </c>
      <c r="B34" s="91"/>
      <c r="C34" s="92"/>
      <c r="D34" s="90"/>
      <c r="E34" s="96"/>
      <c r="F34" s="97"/>
      <c r="G34" s="34"/>
    </row>
    <row r="35" spans="1:7" x14ac:dyDescent="0.3">
      <c r="A35" s="93"/>
      <c r="B35" s="94"/>
      <c r="C35" s="95"/>
      <c r="D35" s="93" t="s">
        <v>20</v>
      </c>
      <c r="E35" s="70"/>
      <c r="F35" s="69"/>
      <c r="G35" s="52">
        <f>SUM(G31:G33)</f>
        <v>63130</v>
      </c>
    </row>
    <row r="36" spans="1:7" x14ac:dyDescent="0.3">
      <c r="A36" s="137" t="s">
        <v>88</v>
      </c>
      <c r="B36" s="138"/>
      <c r="C36" s="139"/>
      <c r="D36" s="94" t="s">
        <v>72</v>
      </c>
      <c r="E36" s="70"/>
      <c r="F36" s="69"/>
      <c r="G36" s="50">
        <v>0</v>
      </c>
    </row>
    <row r="37" spans="1:7" x14ac:dyDescent="0.3">
      <c r="A37" s="57"/>
      <c r="B37" s="58"/>
      <c r="C37" s="108"/>
      <c r="D37" s="93" t="s">
        <v>26</v>
      </c>
      <c r="E37" s="70"/>
      <c r="F37" s="69"/>
      <c r="G37" s="36">
        <f>G35-G36</f>
        <v>63130</v>
      </c>
    </row>
    <row r="38" spans="1:7" ht="15" customHeight="1" x14ac:dyDescent="0.3">
      <c r="A38" s="78" t="s">
        <v>27</v>
      </c>
      <c r="B38" s="109"/>
      <c r="C38" s="110"/>
      <c r="D38" s="117" t="s">
        <v>42</v>
      </c>
      <c r="E38" s="118"/>
      <c r="F38" s="118"/>
      <c r="G38" s="119"/>
    </row>
    <row r="39" spans="1:7" x14ac:dyDescent="0.3">
      <c r="A39" s="111"/>
      <c r="B39" s="112"/>
      <c r="C39" s="113"/>
      <c r="D39" s="120"/>
      <c r="E39" s="121"/>
      <c r="F39" s="121"/>
      <c r="G39" s="122"/>
    </row>
    <row r="40" spans="1:7" ht="14.4" customHeight="1" x14ac:dyDescent="0.3">
      <c r="A40" s="111"/>
      <c r="B40" s="112"/>
      <c r="C40" s="113"/>
      <c r="D40" s="120"/>
      <c r="E40" s="121"/>
      <c r="F40" s="121"/>
      <c r="G40" s="122"/>
    </row>
    <row r="41" spans="1:7" ht="14.4" customHeight="1" x14ac:dyDescent="0.3">
      <c r="A41" s="111"/>
      <c r="B41" s="112"/>
      <c r="C41" s="113"/>
      <c r="D41" s="120"/>
      <c r="E41" s="121"/>
      <c r="F41" s="121"/>
      <c r="G41" s="122"/>
    </row>
    <row r="42" spans="1:7" ht="14.4" customHeight="1" x14ac:dyDescent="0.3">
      <c r="A42" s="111"/>
      <c r="B42" s="112"/>
      <c r="C42" s="113"/>
      <c r="D42" s="120"/>
      <c r="E42" s="121"/>
      <c r="F42" s="121"/>
      <c r="G42" s="122"/>
    </row>
    <row r="43" spans="1:7" ht="14.4" customHeight="1" x14ac:dyDescent="0.3">
      <c r="A43" s="114"/>
      <c r="B43" s="115"/>
      <c r="C43" s="116"/>
      <c r="D43" s="123"/>
      <c r="E43" s="124"/>
      <c r="F43" s="124"/>
      <c r="G43" s="125"/>
    </row>
    <row r="45" spans="1:7" ht="14.4" customHeight="1" x14ac:dyDescent="0.3"/>
    <row r="46" spans="1:7" ht="14.4" customHeight="1" x14ac:dyDescent="0.3"/>
    <row r="47" spans="1:7" ht="14.4" customHeight="1" x14ac:dyDescent="0.3"/>
  </sheetData>
  <mergeCells count="41">
    <mergeCell ref="F11:G11"/>
    <mergeCell ref="A1:E1"/>
    <mergeCell ref="F1:G1"/>
    <mergeCell ref="A2:E2"/>
    <mergeCell ref="A3:E3"/>
    <mergeCell ref="F3:G3"/>
    <mergeCell ref="A4:E4"/>
    <mergeCell ref="F10:G10"/>
    <mergeCell ref="A5:E5"/>
    <mergeCell ref="A7:E7"/>
    <mergeCell ref="F7:G7"/>
    <mergeCell ref="A8:E8"/>
    <mergeCell ref="F9:G9"/>
    <mergeCell ref="F12:G12"/>
    <mergeCell ref="A13:G14"/>
    <mergeCell ref="A15:A16"/>
    <mergeCell ref="B15:B16"/>
    <mergeCell ref="C15:C16"/>
    <mergeCell ref="D15:D16"/>
    <mergeCell ref="E15:E16"/>
    <mergeCell ref="F15:F16"/>
    <mergeCell ref="A34:C35"/>
    <mergeCell ref="D34:F34"/>
    <mergeCell ref="C17:C18"/>
    <mergeCell ref="D17:D18"/>
    <mergeCell ref="D28:F28"/>
    <mergeCell ref="D29:F29"/>
    <mergeCell ref="A30:C30"/>
    <mergeCell ref="D30:F30"/>
    <mergeCell ref="D35:F35"/>
    <mergeCell ref="A31:C31"/>
    <mergeCell ref="D31:F31"/>
    <mergeCell ref="A32:C32"/>
    <mergeCell ref="A33:C33"/>
    <mergeCell ref="D33:F33"/>
    <mergeCell ref="A36:C36"/>
    <mergeCell ref="D36:F36"/>
    <mergeCell ref="A37:C37"/>
    <mergeCell ref="D37:F37"/>
    <mergeCell ref="A38:C43"/>
    <mergeCell ref="D38:G43"/>
  </mergeCells>
  <pageMargins left="0.7" right="0.7" top="0.75" bottom="0.75" header="0.3" footer="0.3"/>
  <pageSetup paperSize="9" scale="93" fitToHeight="0" orientation="portrait" horizontalDpi="4294967293" r:id="rId1"/>
  <headerFooter>
    <oddHeader xml:space="preserve">&amp;CPROFORM INVOICE
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1BFE-6A2C-4B41-AFDA-1E5876CBA28E}">
  <sheetPr>
    <pageSetUpPr fitToPage="1"/>
  </sheetPr>
  <dimension ref="A1:G48"/>
  <sheetViews>
    <sheetView view="pageLayout" topLeftCell="A2" zoomScale="119" zoomScaleNormal="100" zoomScalePageLayoutView="119" workbookViewId="0">
      <selection activeCell="B27" sqref="B27"/>
    </sheetView>
  </sheetViews>
  <sheetFormatPr defaultRowHeight="14.4" x14ac:dyDescent="0.3"/>
  <cols>
    <col min="1" max="1" width="3.6640625" customWidth="1"/>
    <col min="2" max="2" width="29.21875" customWidth="1"/>
    <col min="3" max="3" width="8.6640625" customWidth="1"/>
    <col min="4" max="4" width="7.5546875" customWidth="1"/>
    <col min="5" max="5" width="8.88671875" customWidth="1"/>
    <col min="6" max="6" width="13.5546875" customWidth="1"/>
    <col min="7" max="7" width="22.33203125" customWidth="1"/>
    <col min="8" max="8" width="11.44140625" bestFit="1" customWidth="1"/>
  </cols>
  <sheetData>
    <row r="1" spans="1:7" ht="23.4" x14ac:dyDescent="0.45">
      <c r="A1" s="126" t="s">
        <v>0</v>
      </c>
      <c r="B1" s="127"/>
      <c r="C1" s="127"/>
      <c r="D1" s="127"/>
      <c r="E1" s="127"/>
      <c r="F1" s="63"/>
      <c r="G1" s="64"/>
    </row>
    <row r="2" spans="1:7" x14ac:dyDescent="0.3">
      <c r="A2" s="65" t="s">
        <v>30</v>
      </c>
      <c r="B2" s="66"/>
      <c r="C2" s="66"/>
      <c r="D2" s="66"/>
      <c r="E2" s="67"/>
      <c r="F2" s="3"/>
      <c r="G2" s="4"/>
    </row>
    <row r="3" spans="1:7" x14ac:dyDescent="0.3">
      <c r="A3" s="65" t="s">
        <v>1</v>
      </c>
      <c r="B3" s="66"/>
      <c r="C3" s="66"/>
      <c r="D3" s="66"/>
      <c r="E3" s="67"/>
      <c r="F3" s="68" t="s">
        <v>87</v>
      </c>
      <c r="G3" s="69"/>
    </row>
    <row r="4" spans="1:7" x14ac:dyDescent="0.3">
      <c r="A4" s="68" t="s">
        <v>2</v>
      </c>
      <c r="B4" s="70"/>
      <c r="C4" s="70"/>
      <c r="D4" s="70"/>
      <c r="E4" s="70"/>
      <c r="F4" s="5" t="s">
        <v>86</v>
      </c>
      <c r="G4" s="6"/>
    </row>
    <row r="5" spans="1:7" x14ac:dyDescent="0.3">
      <c r="A5" s="68" t="s">
        <v>3</v>
      </c>
      <c r="B5" s="70"/>
      <c r="C5" s="70"/>
      <c r="D5" s="70"/>
      <c r="E5" s="70"/>
      <c r="F5" s="7"/>
      <c r="G5" s="45"/>
    </row>
    <row r="6" spans="1:7" x14ac:dyDescent="0.3">
      <c r="A6" s="7" t="s">
        <v>4</v>
      </c>
      <c r="B6" s="8"/>
      <c r="C6" s="8"/>
      <c r="D6" s="8"/>
      <c r="E6" s="8"/>
      <c r="F6" s="5"/>
      <c r="G6" s="6"/>
    </row>
    <row r="7" spans="1:7" x14ac:dyDescent="0.3">
      <c r="A7" s="71" t="s">
        <v>5</v>
      </c>
      <c r="B7" s="72"/>
      <c r="C7" s="72"/>
      <c r="D7" s="72"/>
      <c r="E7" s="72"/>
      <c r="F7" s="71" t="s">
        <v>54</v>
      </c>
      <c r="G7" s="73"/>
    </row>
    <row r="8" spans="1:7" x14ac:dyDescent="0.3">
      <c r="A8" s="133" t="s">
        <v>43</v>
      </c>
      <c r="B8" s="134"/>
      <c r="C8" s="134"/>
      <c r="D8" s="134"/>
      <c r="E8" s="134"/>
      <c r="F8" s="9"/>
      <c r="G8" s="10"/>
    </row>
    <row r="9" spans="1:7" x14ac:dyDescent="0.3">
      <c r="A9" s="54" t="s">
        <v>91</v>
      </c>
      <c r="B9" s="55"/>
      <c r="C9" s="55"/>
      <c r="D9" s="55"/>
      <c r="E9" s="55"/>
      <c r="F9" s="38"/>
      <c r="G9" s="56"/>
    </row>
    <row r="10" spans="1:7" x14ac:dyDescent="0.3">
      <c r="A10" s="37" t="s">
        <v>44</v>
      </c>
      <c r="B10" s="12"/>
      <c r="C10" s="12"/>
      <c r="D10" s="12"/>
      <c r="E10" s="12"/>
      <c r="F10" s="104" t="s">
        <v>82</v>
      </c>
      <c r="G10" s="106"/>
    </row>
    <row r="11" spans="1:7" x14ac:dyDescent="0.3">
      <c r="A11" s="13" t="s">
        <v>45</v>
      </c>
      <c r="B11" s="14"/>
      <c r="C11" s="14"/>
      <c r="D11" s="14"/>
      <c r="E11" s="14"/>
      <c r="F11" s="68" t="s">
        <v>83</v>
      </c>
      <c r="G11" s="69"/>
    </row>
    <row r="12" spans="1:7" x14ac:dyDescent="0.3">
      <c r="A12" s="38" t="s">
        <v>46</v>
      </c>
      <c r="B12" s="39"/>
      <c r="C12" s="39"/>
      <c r="D12" s="39"/>
      <c r="E12" s="39"/>
      <c r="F12" s="135" t="s">
        <v>84</v>
      </c>
      <c r="G12" s="136"/>
    </row>
    <row r="13" spans="1:7" x14ac:dyDescent="0.3">
      <c r="A13" s="40" t="s">
        <v>47</v>
      </c>
      <c r="B13" s="41"/>
      <c r="C13" s="41"/>
      <c r="D13" s="41"/>
      <c r="E13" s="41"/>
      <c r="F13" s="59"/>
      <c r="G13" s="60"/>
    </row>
    <row r="14" spans="1:7" ht="14.4" customHeight="1" x14ac:dyDescent="0.3">
      <c r="A14" s="78" t="s">
        <v>29</v>
      </c>
      <c r="B14" s="79"/>
      <c r="C14" s="79"/>
      <c r="D14" s="79"/>
      <c r="E14" s="79"/>
      <c r="F14" s="79"/>
      <c r="G14" s="80"/>
    </row>
    <row r="15" spans="1:7" x14ac:dyDescent="0.3">
      <c r="A15" s="81"/>
      <c r="B15" s="82"/>
      <c r="C15" s="82"/>
      <c r="D15" s="82"/>
      <c r="E15" s="82"/>
      <c r="F15" s="82"/>
      <c r="G15" s="83"/>
    </row>
    <row r="16" spans="1:7" ht="14.4" customHeight="1" x14ac:dyDescent="0.3">
      <c r="A16" s="86" t="s">
        <v>85</v>
      </c>
      <c r="B16" s="84" t="s">
        <v>10</v>
      </c>
      <c r="C16" s="84" t="s">
        <v>48</v>
      </c>
      <c r="D16" s="84" t="s">
        <v>11</v>
      </c>
      <c r="E16" s="86" t="s">
        <v>49</v>
      </c>
      <c r="F16" s="84" t="s">
        <v>12</v>
      </c>
      <c r="G16" s="42" t="s">
        <v>13</v>
      </c>
    </row>
    <row r="17" spans="1:7" x14ac:dyDescent="0.3">
      <c r="A17" s="85"/>
      <c r="B17" s="85"/>
      <c r="C17" s="85"/>
      <c r="D17" s="85"/>
      <c r="E17" s="89"/>
      <c r="F17" s="85"/>
      <c r="G17" s="43"/>
    </row>
    <row r="18" spans="1:7" x14ac:dyDescent="0.3">
      <c r="A18" s="15">
        <v>1</v>
      </c>
      <c r="B18" s="15" t="s">
        <v>79</v>
      </c>
      <c r="C18" s="98">
        <v>9985</v>
      </c>
      <c r="D18" s="100">
        <v>25000</v>
      </c>
      <c r="E18" s="16">
        <v>62</v>
      </c>
      <c r="F18" s="17">
        <v>2</v>
      </c>
      <c r="G18" s="18">
        <f>E18*(D18/31)</f>
        <v>50000</v>
      </c>
    </row>
    <row r="19" spans="1:7" x14ac:dyDescent="0.3">
      <c r="A19" s="19">
        <v>2</v>
      </c>
      <c r="B19" s="19" t="s">
        <v>80</v>
      </c>
      <c r="C19" s="99"/>
      <c r="D19" s="101"/>
      <c r="E19" s="20">
        <v>0</v>
      </c>
      <c r="F19" s="21"/>
      <c r="G19" s="18">
        <f>E19*(D18/30/9)</f>
        <v>0</v>
      </c>
    </row>
    <row r="20" spans="1:7" x14ac:dyDescent="0.3">
      <c r="A20" s="3"/>
      <c r="B20" s="44"/>
      <c r="C20" s="3"/>
      <c r="D20" s="44"/>
      <c r="E20" s="3"/>
      <c r="F20" s="4"/>
      <c r="G20" s="4"/>
    </row>
    <row r="21" spans="1:7" x14ac:dyDescent="0.3">
      <c r="A21" s="5"/>
      <c r="B21" s="28"/>
      <c r="C21" s="5"/>
      <c r="D21" s="28"/>
      <c r="E21" s="5"/>
      <c r="F21" s="6"/>
      <c r="G21" s="6"/>
    </row>
    <row r="22" spans="1:7" x14ac:dyDescent="0.3">
      <c r="A22" s="22"/>
      <c r="B22" s="23"/>
      <c r="C22" s="24"/>
      <c r="D22" s="25"/>
      <c r="E22" s="26"/>
      <c r="G22" s="27"/>
    </row>
    <row r="23" spans="1:7" x14ac:dyDescent="0.3">
      <c r="A23" s="22"/>
      <c r="B23" s="23"/>
      <c r="C23" s="24"/>
      <c r="D23" s="25"/>
      <c r="E23" s="26"/>
      <c r="G23" s="27"/>
    </row>
    <row r="24" spans="1:7" x14ac:dyDescent="0.3">
      <c r="A24" s="22"/>
      <c r="B24" s="23"/>
      <c r="C24" s="24"/>
      <c r="D24" s="25"/>
      <c r="E24" s="26"/>
      <c r="G24" s="27"/>
    </row>
    <row r="25" spans="1:7" x14ac:dyDescent="0.3">
      <c r="A25" s="22"/>
      <c r="B25" s="23"/>
      <c r="C25" s="24"/>
      <c r="D25" s="25"/>
      <c r="E25" s="26"/>
      <c r="G25" s="27"/>
    </row>
    <row r="26" spans="1:7" x14ac:dyDescent="0.3">
      <c r="A26" s="22"/>
      <c r="B26" s="23"/>
      <c r="C26" s="24"/>
      <c r="D26" s="25"/>
      <c r="E26" s="26"/>
      <c r="G26" s="27"/>
    </row>
    <row r="27" spans="1:7" x14ac:dyDescent="0.3">
      <c r="A27" s="24"/>
      <c r="B27" s="23"/>
      <c r="C27" s="24"/>
      <c r="D27" s="28"/>
      <c r="E27" s="26"/>
      <c r="G27" s="27"/>
    </row>
    <row r="28" spans="1:7" x14ac:dyDescent="0.3">
      <c r="A28" s="28"/>
      <c r="B28" s="6"/>
      <c r="C28" s="28"/>
      <c r="D28" s="46" t="s">
        <v>16</v>
      </c>
      <c r="E28" s="1"/>
      <c r="F28" s="2"/>
      <c r="G28" s="18">
        <f>G17+G18</f>
        <v>50000</v>
      </c>
    </row>
    <row r="29" spans="1:7" x14ac:dyDescent="0.3">
      <c r="A29" s="28"/>
      <c r="B29" s="28"/>
      <c r="C29" s="28"/>
      <c r="D29" s="102" t="s">
        <v>51</v>
      </c>
      <c r="E29" s="63"/>
      <c r="F29" s="64"/>
      <c r="G29" s="18">
        <v>0</v>
      </c>
    </row>
    <row r="30" spans="1:7" ht="15" customHeight="1" x14ac:dyDescent="0.3">
      <c r="A30" s="21"/>
      <c r="B30" s="21"/>
      <c r="C30" s="21"/>
      <c r="D30" s="70" t="s">
        <v>52</v>
      </c>
      <c r="E30" s="70"/>
      <c r="F30" s="70"/>
      <c r="G30" s="18">
        <v>0</v>
      </c>
    </row>
    <row r="31" spans="1:7" x14ac:dyDescent="0.3">
      <c r="A31" s="90" t="s">
        <v>18</v>
      </c>
      <c r="B31" s="96"/>
      <c r="C31" s="97"/>
      <c r="D31" s="103"/>
      <c r="E31" s="96"/>
      <c r="F31" s="97"/>
      <c r="G31" s="29" t="s">
        <v>50</v>
      </c>
    </row>
    <row r="32" spans="1:7" ht="14.7" customHeight="1" x14ac:dyDescent="0.3">
      <c r="A32" s="104" t="s">
        <v>19</v>
      </c>
      <c r="B32" s="105"/>
      <c r="C32" s="105"/>
      <c r="D32" s="93" t="s">
        <v>20</v>
      </c>
      <c r="E32" s="94"/>
      <c r="F32" s="95"/>
      <c r="G32" s="30">
        <f>G29+G30+G28</f>
        <v>50000</v>
      </c>
    </row>
    <row r="33" spans="1:7" x14ac:dyDescent="0.3">
      <c r="A33" s="104" t="s">
        <v>21</v>
      </c>
      <c r="B33" s="105"/>
      <c r="C33" s="106"/>
      <c r="D33" s="31" t="s">
        <v>22</v>
      </c>
      <c r="E33" s="1"/>
      <c r="F33" s="2"/>
      <c r="G33" s="32">
        <f>G32*9%</f>
        <v>4500</v>
      </c>
    </row>
    <row r="34" spans="1:7" ht="14.7" customHeight="1" x14ac:dyDescent="0.3">
      <c r="A34" s="104" t="s">
        <v>23</v>
      </c>
      <c r="B34" s="105"/>
      <c r="C34" s="106"/>
      <c r="D34" s="107" t="s">
        <v>24</v>
      </c>
      <c r="E34" s="63"/>
      <c r="F34" s="64"/>
      <c r="G34" s="33">
        <f>G32*9%</f>
        <v>4500</v>
      </c>
    </row>
    <row r="35" spans="1:7" x14ac:dyDescent="0.3">
      <c r="A35" s="90" t="s">
        <v>25</v>
      </c>
      <c r="B35" s="91"/>
      <c r="C35" s="92"/>
      <c r="D35" s="90"/>
      <c r="E35" s="96"/>
      <c r="F35" s="97"/>
      <c r="G35" s="34"/>
    </row>
    <row r="36" spans="1:7" x14ac:dyDescent="0.3">
      <c r="A36" s="93"/>
      <c r="B36" s="94"/>
      <c r="C36" s="95"/>
      <c r="D36" s="93" t="s">
        <v>20</v>
      </c>
      <c r="E36" s="70"/>
      <c r="F36" s="69"/>
      <c r="G36" s="52">
        <f>SUM(G32:G34)</f>
        <v>59000</v>
      </c>
    </row>
    <row r="37" spans="1:7" x14ac:dyDescent="0.3">
      <c r="A37" s="137" t="s">
        <v>93</v>
      </c>
      <c r="B37" s="138"/>
      <c r="C37" s="139"/>
      <c r="D37" s="94" t="s">
        <v>72</v>
      </c>
      <c r="E37" s="70"/>
      <c r="F37" s="69"/>
      <c r="G37" s="50">
        <v>0</v>
      </c>
    </row>
    <row r="38" spans="1:7" x14ac:dyDescent="0.3">
      <c r="A38" s="57"/>
      <c r="B38" s="58"/>
      <c r="C38" s="108"/>
      <c r="D38" s="93" t="s">
        <v>26</v>
      </c>
      <c r="E38" s="70"/>
      <c r="F38" s="69"/>
      <c r="G38" s="36">
        <f>G36-G37</f>
        <v>59000</v>
      </c>
    </row>
    <row r="39" spans="1:7" ht="15" customHeight="1" x14ac:dyDescent="0.3">
      <c r="A39" s="78" t="s">
        <v>27</v>
      </c>
      <c r="B39" s="109"/>
      <c r="C39" s="110"/>
      <c r="D39" s="117" t="s">
        <v>42</v>
      </c>
      <c r="E39" s="118"/>
      <c r="F39" s="118"/>
      <c r="G39" s="119"/>
    </row>
    <row r="40" spans="1:7" x14ac:dyDescent="0.3">
      <c r="A40" s="111"/>
      <c r="B40" s="112"/>
      <c r="C40" s="113"/>
      <c r="D40" s="120"/>
      <c r="E40" s="121"/>
      <c r="F40" s="121"/>
      <c r="G40" s="122"/>
    </row>
    <row r="41" spans="1:7" ht="14.4" customHeight="1" x14ac:dyDescent="0.3">
      <c r="A41" s="111"/>
      <c r="B41" s="112"/>
      <c r="C41" s="113"/>
      <c r="D41" s="120"/>
      <c r="E41" s="121"/>
      <c r="F41" s="121"/>
      <c r="G41" s="122"/>
    </row>
    <row r="42" spans="1:7" ht="14.4" customHeight="1" x14ac:dyDescent="0.3">
      <c r="A42" s="111"/>
      <c r="B42" s="112"/>
      <c r="C42" s="113"/>
      <c r="D42" s="120"/>
      <c r="E42" s="121"/>
      <c r="F42" s="121"/>
      <c r="G42" s="122"/>
    </row>
    <row r="43" spans="1:7" ht="14.4" customHeight="1" x14ac:dyDescent="0.3">
      <c r="A43" s="111"/>
      <c r="B43" s="112"/>
      <c r="C43" s="113"/>
      <c r="D43" s="120"/>
      <c r="E43" s="121"/>
      <c r="F43" s="121"/>
      <c r="G43" s="122"/>
    </row>
    <row r="44" spans="1:7" ht="14.4" customHeight="1" x14ac:dyDescent="0.3">
      <c r="A44" s="114"/>
      <c r="B44" s="115"/>
      <c r="C44" s="116"/>
      <c r="D44" s="123"/>
      <c r="E44" s="124"/>
      <c r="F44" s="124"/>
      <c r="G44" s="125"/>
    </row>
    <row r="46" spans="1:7" ht="14.4" customHeight="1" x14ac:dyDescent="0.3"/>
    <row r="47" spans="1:7" ht="14.4" customHeight="1" x14ac:dyDescent="0.3"/>
    <row r="48" spans="1:7" ht="14.4" customHeight="1" x14ac:dyDescent="0.3"/>
  </sheetData>
  <mergeCells count="41">
    <mergeCell ref="F11:G11"/>
    <mergeCell ref="A1:E1"/>
    <mergeCell ref="F1:G1"/>
    <mergeCell ref="A2:E2"/>
    <mergeCell ref="A3:E3"/>
    <mergeCell ref="F3:G3"/>
    <mergeCell ref="A4:E4"/>
    <mergeCell ref="A5:E5"/>
    <mergeCell ref="A7:E7"/>
    <mergeCell ref="F7:G7"/>
    <mergeCell ref="A8:E8"/>
    <mergeCell ref="F10:G10"/>
    <mergeCell ref="F12:G12"/>
    <mergeCell ref="F13:G13"/>
    <mergeCell ref="A14:G15"/>
    <mergeCell ref="A16:A17"/>
    <mergeCell ref="B16:B17"/>
    <mergeCell ref="C16:C17"/>
    <mergeCell ref="D16:D17"/>
    <mergeCell ref="E16:E17"/>
    <mergeCell ref="F16:F17"/>
    <mergeCell ref="A35:C36"/>
    <mergeCell ref="D35:F35"/>
    <mergeCell ref="D36:F36"/>
    <mergeCell ref="C18:C19"/>
    <mergeCell ref="D18:D19"/>
    <mergeCell ref="D29:F29"/>
    <mergeCell ref="D30:F30"/>
    <mergeCell ref="A31:C31"/>
    <mergeCell ref="D31:F31"/>
    <mergeCell ref="A32:C32"/>
    <mergeCell ref="D32:F32"/>
    <mergeCell ref="A33:C33"/>
    <mergeCell ref="A34:C34"/>
    <mergeCell ref="D34:F34"/>
    <mergeCell ref="A37:C37"/>
    <mergeCell ref="D37:F37"/>
    <mergeCell ref="A38:C38"/>
    <mergeCell ref="D38:F38"/>
    <mergeCell ref="A39:C44"/>
    <mergeCell ref="D39:G44"/>
  </mergeCells>
  <pageMargins left="0.7" right="0.7" top="0.75" bottom="0.75" header="0.3" footer="0.3"/>
  <pageSetup paperSize="9" scale="93" fitToHeight="0" orientation="portrait" horizontalDpi="4294967293" r:id="rId1"/>
  <headerFooter>
    <oddHeader xml:space="preserve">&amp;CPROFORM INVOICE
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621EE-A4B8-4BC1-ABD2-A64512E13EF5}">
  <sheetPr>
    <pageSetUpPr fitToPage="1"/>
  </sheetPr>
  <dimension ref="A1:G48"/>
  <sheetViews>
    <sheetView view="pageLayout" topLeftCell="A23" zoomScale="119" zoomScaleNormal="100" zoomScalePageLayoutView="119" workbookViewId="0">
      <selection activeCell="G6" sqref="G6"/>
    </sheetView>
  </sheetViews>
  <sheetFormatPr defaultRowHeight="14.4" x14ac:dyDescent="0.3"/>
  <cols>
    <col min="1" max="1" width="3.6640625" customWidth="1"/>
    <col min="2" max="2" width="29.21875" customWidth="1"/>
    <col min="3" max="3" width="8.6640625" customWidth="1"/>
    <col min="4" max="4" width="7.5546875" customWidth="1"/>
    <col min="5" max="5" width="8.88671875" customWidth="1"/>
    <col min="6" max="6" width="13.5546875" customWidth="1"/>
    <col min="7" max="7" width="22.33203125" customWidth="1"/>
    <col min="8" max="8" width="11.44140625" bestFit="1" customWidth="1"/>
  </cols>
  <sheetData>
    <row r="1" spans="1:7" ht="23.4" x14ac:dyDescent="0.45">
      <c r="A1" s="126" t="s">
        <v>0</v>
      </c>
      <c r="B1" s="127"/>
      <c r="C1" s="127"/>
      <c r="D1" s="127"/>
      <c r="E1" s="127"/>
      <c r="F1" s="63"/>
      <c r="G1" s="64"/>
    </row>
    <row r="2" spans="1:7" x14ac:dyDescent="0.3">
      <c r="A2" s="65" t="s">
        <v>30</v>
      </c>
      <c r="B2" s="66"/>
      <c r="C2" s="66"/>
      <c r="D2" s="66"/>
      <c r="E2" s="67"/>
      <c r="F2" s="3"/>
      <c r="G2" s="4"/>
    </row>
    <row r="3" spans="1:7" x14ac:dyDescent="0.3">
      <c r="A3" s="65" t="s">
        <v>1</v>
      </c>
      <c r="B3" s="66"/>
      <c r="C3" s="66"/>
      <c r="D3" s="66"/>
      <c r="E3" s="67"/>
      <c r="F3" s="68" t="s">
        <v>97</v>
      </c>
      <c r="G3" s="69"/>
    </row>
    <row r="4" spans="1:7" x14ac:dyDescent="0.3">
      <c r="A4" s="68" t="s">
        <v>2</v>
      </c>
      <c r="B4" s="70"/>
      <c r="C4" s="70"/>
      <c r="D4" s="70"/>
      <c r="E4" s="70"/>
      <c r="F4" s="5" t="s">
        <v>95</v>
      </c>
      <c r="G4" s="6"/>
    </row>
    <row r="5" spans="1:7" x14ac:dyDescent="0.3">
      <c r="A5" s="68" t="s">
        <v>3</v>
      </c>
      <c r="B5" s="70"/>
      <c r="C5" s="70"/>
      <c r="D5" s="70"/>
      <c r="E5" s="70"/>
      <c r="F5" s="7"/>
      <c r="G5" s="45"/>
    </row>
    <row r="6" spans="1:7" x14ac:dyDescent="0.3">
      <c r="A6" s="7" t="s">
        <v>4</v>
      </c>
      <c r="B6" s="8"/>
      <c r="C6" s="8"/>
      <c r="D6" s="8"/>
      <c r="E6" s="8"/>
      <c r="F6" s="5"/>
      <c r="G6" s="6"/>
    </row>
    <row r="7" spans="1:7" x14ac:dyDescent="0.3">
      <c r="A7" s="71" t="s">
        <v>5</v>
      </c>
      <c r="B7" s="72"/>
      <c r="C7" s="72"/>
      <c r="D7" s="72"/>
      <c r="E7" s="72"/>
      <c r="F7" s="71" t="s">
        <v>54</v>
      </c>
      <c r="G7" s="73"/>
    </row>
    <row r="8" spans="1:7" x14ac:dyDescent="0.3">
      <c r="A8" s="133" t="s">
        <v>43</v>
      </c>
      <c r="B8" s="134"/>
      <c r="C8" s="134"/>
      <c r="D8" s="134"/>
      <c r="E8" s="134"/>
      <c r="F8" s="9"/>
      <c r="G8" s="10"/>
    </row>
    <row r="9" spans="1:7" x14ac:dyDescent="0.3">
      <c r="A9" s="54" t="s">
        <v>91</v>
      </c>
      <c r="B9" s="55"/>
      <c r="C9" s="55"/>
      <c r="D9" s="55"/>
      <c r="E9" s="55"/>
      <c r="F9" s="38"/>
      <c r="G9" s="56"/>
    </row>
    <row r="10" spans="1:7" x14ac:dyDescent="0.3">
      <c r="A10" s="37" t="s">
        <v>44</v>
      </c>
      <c r="B10" s="12"/>
      <c r="C10" s="12"/>
      <c r="D10" s="12"/>
      <c r="E10" s="12"/>
      <c r="F10" s="104" t="s">
        <v>82</v>
      </c>
      <c r="G10" s="106"/>
    </row>
    <row r="11" spans="1:7" x14ac:dyDescent="0.3">
      <c r="A11" s="13" t="s">
        <v>45</v>
      </c>
      <c r="B11" s="14"/>
      <c r="C11" s="14"/>
      <c r="D11" s="14"/>
      <c r="E11" s="14"/>
      <c r="F11" s="68" t="s">
        <v>83</v>
      </c>
      <c r="G11" s="69"/>
    </row>
    <row r="12" spans="1:7" x14ac:dyDescent="0.3">
      <c r="A12" s="38" t="s">
        <v>46</v>
      </c>
      <c r="B12" s="39"/>
      <c r="C12" s="39"/>
      <c r="D12" s="39"/>
      <c r="E12" s="39"/>
      <c r="F12" s="135" t="s">
        <v>84</v>
      </c>
      <c r="G12" s="136"/>
    </row>
    <row r="13" spans="1:7" x14ac:dyDescent="0.3">
      <c r="A13" s="40" t="s">
        <v>47</v>
      </c>
      <c r="B13" s="41"/>
      <c r="C13" s="41"/>
      <c r="D13" s="41"/>
      <c r="E13" s="41"/>
      <c r="F13" s="59"/>
      <c r="G13" s="60"/>
    </row>
    <row r="14" spans="1:7" ht="14.4" customHeight="1" x14ac:dyDescent="0.3">
      <c r="A14" s="78" t="s">
        <v>29</v>
      </c>
      <c r="B14" s="79"/>
      <c r="C14" s="79"/>
      <c r="D14" s="79"/>
      <c r="E14" s="79"/>
      <c r="F14" s="79"/>
      <c r="G14" s="80"/>
    </row>
    <row r="15" spans="1:7" x14ac:dyDescent="0.3">
      <c r="A15" s="81"/>
      <c r="B15" s="82"/>
      <c r="C15" s="82"/>
      <c r="D15" s="82"/>
      <c r="E15" s="82"/>
      <c r="F15" s="82"/>
      <c r="G15" s="83"/>
    </row>
    <row r="16" spans="1:7" ht="14.4" customHeight="1" x14ac:dyDescent="0.3">
      <c r="A16" s="86" t="s">
        <v>85</v>
      </c>
      <c r="B16" s="84" t="s">
        <v>10</v>
      </c>
      <c r="C16" s="84" t="s">
        <v>48</v>
      </c>
      <c r="D16" s="84" t="s">
        <v>11</v>
      </c>
      <c r="E16" s="86" t="s">
        <v>49</v>
      </c>
      <c r="F16" s="84" t="s">
        <v>12</v>
      </c>
      <c r="G16" s="42" t="s">
        <v>13</v>
      </c>
    </row>
    <row r="17" spans="1:7" x14ac:dyDescent="0.3">
      <c r="A17" s="85"/>
      <c r="B17" s="85"/>
      <c r="C17" s="85"/>
      <c r="D17" s="85"/>
      <c r="E17" s="89"/>
      <c r="F17" s="85"/>
      <c r="G17" s="43"/>
    </row>
    <row r="18" spans="1:7" x14ac:dyDescent="0.3">
      <c r="A18" s="15">
        <v>1</v>
      </c>
      <c r="B18" s="15" t="s">
        <v>79</v>
      </c>
      <c r="C18" s="98">
        <v>9985</v>
      </c>
      <c r="D18" s="100">
        <v>25000</v>
      </c>
      <c r="E18" s="16">
        <v>62</v>
      </c>
      <c r="F18" s="17">
        <v>2</v>
      </c>
      <c r="G18" s="18">
        <f>E18*(D18/31)</f>
        <v>50000</v>
      </c>
    </row>
    <row r="19" spans="1:7" x14ac:dyDescent="0.3">
      <c r="A19" s="19">
        <v>2</v>
      </c>
      <c r="B19" s="19" t="s">
        <v>80</v>
      </c>
      <c r="C19" s="99"/>
      <c r="D19" s="101"/>
      <c r="E19" s="20">
        <v>0</v>
      </c>
      <c r="F19" s="21"/>
      <c r="G19" s="18">
        <f>E19*(D18/30/9)</f>
        <v>0</v>
      </c>
    </row>
    <row r="20" spans="1:7" x14ac:dyDescent="0.3">
      <c r="A20" s="3"/>
      <c r="B20" s="44"/>
      <c r="C20" s="3"/>
      <c r="D20" s="44"/>
      <c r="E20" s="3"/>
      <c r="F20" s="4"/>
      <c r="G20" s="4"/>
    </row>
    <row r="21" spans="1:7" x14ac:dyDescent="0.3">
      <c r="A21" s="5"/>
      <c r="B21" s="28"/>
      <c r="C21" s="5"/>
      <c r="D21" s="28"/>
      <c r="E21" s="5"/>
      <c r="F21" s="6"/>
      <c r="G21" s="6"/>
    </row>
    <row r="22" spans="1:7" x14ac:dyDescent="0.3">
      <c r="A22" s="22"/>
      <c r="B22" s="23"/>
      <c r="C22" s="24"/>
      <c r="D22" s="25"/>
      <c r="E22" s="26"/>
      <c r="G22" s="27"/>
    </row>
    <row r="23" spans="1:7" x14ac:dyDescent="0.3">
      <c r="A23" s="22"/>
      <c r="B23" s="23"/>
      <c r="C23" s="24"/>
      <c r="D23" s="25"/>
      <c r="E23" s="26"/>
      <c r="G23" s="27"/>
    </row>
    <row r="24" spans="1:7" x14ac:dyDescent="0.3">
      <c r="A24" s="22"/>
      <c r="B24" s="23"/>
      <c r="C24" s="24"/>
      <c r="D24" s="25"/>
      <c r="E24" s="26"/>
      <c r="G24" s="27"/>
    </row>
    <row r="25" spans="1:7" x14ac:dyDescent="0.3">
      <c r="A25" s="22"/>
      <c r="B25" s="23"/>
      <c r="C25" s="24"/>
      <c r="D25" s="25"/>
      <c r="E25" s="26"/>
      <c r="G25" s="27"/>
    </row>
    <row r="26" spans="1:7" x14ac:dyDescent="0.3">
      <c r="A26" s="22"/>
      <c r="B26" s="23"/>
      <c r="C26" s="24"/>
      <c r="D26" s="25"/>
      <c r="E26" s="26"/>
      <c r="G26" s="27"/>
    </row>
    <row r="27" spans="1:7" x14ac:dyDescent="0.3">
      <c r="A27" s="24"/>
      <c r="B27" s="23"/>
      <c r="C27" s="24"/>
      <c r="D27" s="28"/>
      <c r="E27" s="26"/>
      <c r="G27" s="27"/>
    </row>
    <row r="28" spans="1:7" x14ac:dyDescent="0.3">
      <c r="A28" s="28"/>
      <c r="B28" s="6"/>
      <c r="C28" s="28"/>
      <c r="D28" s="46" t="s">
        <v>16</v>
      </c>
      <c r="E28" s="1"/>
      <c r="F28" s="2"/>
      <c r="G28" s="18">
        <f>G17+G18</f>
        <v>50000</v>
      </c>
    </row>
    <row r="29" spans="1:7" x14ac:dyDescent="0.3">
      <c r="A29" s="28"/>
      <c r="B29" s="28"/>
      <c r="C29" s="28"/>
      <c r="D29" s="102" t="s">
        <v>51</v>
      </c>
      <c r="E29" s="63"/>
      <c r="F29" s="64"/>
      <c r="G29" s="18">
        <v>0</v>
      </c>
    </row>
    <row r="30" spans="1:7" ht="15" customHeight="1" x14ac:dyDescent="0.3">
      <c r="A30" s="21"/>
      <c r="B30" s="21"/>
      <c r="C30" s="21"/>
      <c r="D30" s="70" t="s">
        <v>52</v>
      </c>
      <c r="E30" s="70"/>
      <c r="F30" s="70"/>
      <c r="G30" s="18">
        <v>0</v>
      </c>
    </row>
    <row r="31" spans="1:7" x14ac:dyDescent="0.3">
      <c r="A31" s="90" t="s">
        <v>18</v>
      </c>
      <c r="B31" s="96"/>
      <c r="C31" s="97"/>
      <c r="D31" s="103"/>
      <c r="E31" s="96"/>
      <c r="F31" s="97"/>
      <c r="G31" s="29" t="s">
        <v>50</v>
      </c>
    </row>
    <row r="32" spans="1:7" ht="14.7" customHeight="1" x14ac:dyDescent="0.3">
      <c r="A32" s="104" t="s">
        <v>19</v>
      </c>
      <c r="B32" s="105"/>
      <c r="C32" s="105"/>
      <c r="D32" s="93" t="s">
        <v>20</v>
      </c>
      <c r="E32" s="94"/>
      <c r="F32" s="95"/>
      <c r="G32" s="30">
        <f>G29+G30+G28</f>
        <v>50000</v>
      </c>
    </row>
    <row r="33" spans="1:7" x14ac:dyDescent="0.3">
      <c r="A33" s="104" t="s">
        <v>21</v>
      </c>
      <c r="B33" s="105"/>
      <c r="C33" s="106"/>
      <c r="D33" s="31" t="s">
        <v>22</v>
      </c>
      <c r="E33" s="1"/>
      <c r="F33" s="2"/>
      <c r="G33" s="32">
        <f>G32*9%</f>
        <v>4500</v>
      </c>
    </row>
    <row r="34" spans="1:7" ht="14.7" customHeight="1" x14ac:dyDescent="0.3">
      <c r="A34" s="104" t="s">
        <v>23</v>
      </c>
      <c r="B34" s="105"/>
      <c r="C34" s="106"/>
      <c r="D34" s="107" t="s">
        <v>24</v>
      </c>
      <c r="E34" s="63"/>
      <c r="F34" s="64"/>
      <c r="G34" s="33">
        <f>G32*9%</f>
        <v>4500</v>
      </c>
    </row>
    <row r="35" spans="1:7" x14ac:dyDescent="0.3">
      <c r="A35" s="90" t="s">
        <v>25</v>
      </c>
      <c r="B35" s="91"/>
      <c r="C35" s="92"/>
      <c r="D35" s="90"/>
      <c r="E35" s="96"/>
      <c r="F35" s="97"/>
      <c r="G35" s="34"/>
    </row>
    <row r="36" spans="1:7" x14ac:dyDescent="0.3">
      <c r="A36" s="93"/>
      <c r="B36" s="94"/>
      <c r="C36" s="95"/>
      <c r="D36" s="93" t="s">
        <v>20</v>
      </c>
      <c r="E36" s="70"/>
      <c r="F36" s="69"/>
      <c r="G36" s="52">
        <f>SUM(G32:G34)</f>
        <v>59000</v>
      </c>
    </row>
    <row r="37" spans="1:7" x14ac:dyDescent="0.3">
      <c r="A37" s="137" t="s">
        <v>93</v>
      </c>
      <c r="B37" s="138"/>
      <c r="C37" s="139"/>
      <c r="D37" s="94" t="s">
        <v>72</v>
      </c>
      <c r="E37" s="70"/>
      <c r="F37" s="69"/>
      <c r="G37" s="50">
        <v>0</v>
      </c>
    </row>
    <row r="38" spans="1:7" x14ac:dyDescent="0.3">
      <c r="A38" s="57"/>
      <c r="B38" s="58"/>
      <c r="C38" s="108"/>
      <c r="D38" s="93" t="s">
        <v>26</v>
      </c>
      <c r="E38" s="70"/>
      <c r="F38" s="69"/>
      <c r="G38" s="36">
        <f>G36-G37</f>
        <v>59000</v>
      </c>
    </row>
    <row r="39" spans="1:7" ht="15" customHeight="1" x14ac:dyDescent="0.3">
      <c r="A39" s="78" t="s">
        <v>27</v>
      </c>
      <c r="B39" s="109"/>
      <c r="C39" s="110"/>
      <c r="D39" s="117" t="s">
        <v>42</v>
      </c>
      <c r="E39" s="118"/>
      <c r="F39" s="118"/>
      <c r="G39" s="119"/>
    </row>
    <row r="40" spans="1:7" x14ac:dyDescent="0.3">
      <c r="A40" s="111"/>
      <c r="B40" s="112"/>
      <c r="C40" s="113"/>
      <c r="D40" s="120"/>
      <c r="E40" s="121"/>
      <c r="F40" s="121"/>
      <c r="G40" s="122"/>
    </row>
    <row r="41" spans="1:7" ht="14.4" customHeight="1" x14ac:dyDescent="0.3">
      <c r="A41" s="111"/>
      <c r="B41" s="112"/>
      <c r="C41" s="113"/>
      <c r="D41" s="120"/>
      <c r="E41" s="121"/>
      <c r="F41" s="121"/>
      <c r="G41" s="122"/>
    </row>
    <row r="42" spans="1:7" ht="14.4" customHeight="1" x14ac:dyDescent="0.3">
      <c r="A42" s="111"/>
      <c r="B42" s="112"/>
      <c r="C42" s="113"/>
      <c r="D42" s="120"/>
      <c r="E42" s="121"/>
      <c r="F42" s="121"/>
      <c r="G42" s="122"/>
    </row>
    <row r="43" spans="1:7" ht="14.4" customHeight="1" x14ac:dyDescent="0.3">
      <c r="A43" s="111"/>
      <c r="B43" s="112"/>
      <c r="C43" s="113"/>
      <c r="D43" s="120"/>
      <c r="E43" s="121"/>
      <c r="F43" s="121"/>
      <c r="G43" s="122"/>
    </row>
    <row r="44" spans="1:7" ht="14.4" customHeight="1" x14ac:dyDescent="0.3">
      <c r="A44" s="114"/>
      <c r="B44" s="115"/>
      <c r="C44" s="116"/>
      <c r="D44" s="123"/>
      <c r="E44" s="124"/>
      <c r="F44" s="124"/>
      <c r="G44" s="125"/>
    </row>
    <row r="46" spans="1:7" ht="14.4" customHeight="1" x14ac:dyDescent="0.3"/>
    <row r="47" spans="1:7" ht="14.4" customHeight="1" x14ac:dyDescent="0.3"/>
    <row r="48" spans="1:7" ht="14.4" customHeight="1" x14ac:dyDescent="0.3"/>
  </sheetData>
  <mergeCells count="41">
    <mergeCell ref="A37:C37"/>
    <mergeCell ref="D37:F37"/>
    <mergeCell ref="A38:C38"/>
    <mergeCell ref="D38:F38"/>
    <mergeCell ref="A39:C44"/>
    <mergeCell ref="D39:G44"/>
    <mergeCell ref="A32:C32"/>
    <mergeCell ref="D32:F32"/>
    <mergeCell ref="A33:C33"/>
    <mergeCell ref="A34:C34"/>
    <mergeCell ref="D34:F34"/>
    <mergeCell ref="A35:C36"/>
    <mergeCell ref="D35:F35"/>
    <mergeCell ref="D36:F36"/>
    <mergeCell ref="C18:C19"/>
    <mergeCell ref="D18:D19"/>
    <mergeCell ref="D29:F29"/>
    <mergeCell ref="D30:F30"/>
    <mergeCell ref="A31:C31"/>
    <mergeCell ref="D31:F31"/>
    <mergeCell ref="F12:G12"/>
    <mergeCell ref="F13:G13"/>
    <mergeCell ref="A14:G15"/>
    <mergeCell ref="A16:A17"/>
    <mergeCell ref="B16:B17"/>
    <mergeCell ref="C16:C17"/>
    <mergeCell ref="D16:D17"/>
    <mergeCell ref="E16:E17"/>
    <mergeCell ref="F16:F17"/>
    <mergeCell ref="A5:E5"/>
    <mergeCell ref="A7:E7"/>
    <mergeCell ref="F7:G7"/>
    <mergeCell ref="A8:E8"/>
    <mergeCell ref="F10:G10"/>
    <mergeCell ref="F11:G11"/>
    <mergeCell ref="A1:E1"/>
    <mergeCell ref="F1:G1"/>
    <mergeCell ref="A2:E2"/>
    <mergeCell ref="A3:E3"/>
    <mergeCell ref="F3:G3"/>
    <mergeCell ref="A4:E4"/>
  </mergeCells>
  <pageMargins left="0.7" right="0.7" top="0.75" bottom="0.75" header="0.3" footer="0.3"/>
  <pageSetup paperSize="9" scale="93" fitToHeight="0" orientation="portrait" horizontalDpi="4294967293" r:id="rId1"/>
  <headerFooter>
    <oddHeader xml:space="preserve">&amp;CTAX INVOICE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MINCHSL__LO_PI  (3)</vt:lpstr>
      <vt:lpstr>MINCHSL__LO_PI </vt:lpstr>
      <vt:lpstr>MINCHSL__LO_TI-24</vt:lpstr>
      <vt:lpstr>MINCHSL_PF_HK_PI  </vt:lpstr>
      <vt:lpstr>MINCHSL_PF_HK_PI   (2)</vt:lpstr>
      <vt:lpstr>MINCHSL_PF_HK_TI-25</vt:lpstr>
      <vt:lpstr>Ajmera PI-key -sept </vt:lpstr>
      <vt:lpstr>Ajmera PI-key -sept  (2)</vt:lpstr>
      <vt:lpstr>Ajmera-Key-sept- TI</vt:lpstr>
      <vt:lpstr>Ajmera PI-HK-OCT</vt:lpstr>
      <vt:lpstr>Ajmera-HK-OCT-TI</vt:lpstr>
      <vt:lpstr>Ajmera PI-key -oct</vt:lpstr>
      <vt:lpstr>Ajmera PI-key -oct (2)</vt:lpstr>
      <vt:lpstr>Ajmera-key_oct-TI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Harimira</dc:creator>
  <cp:lastModifiedBy>Nandani Thakur</cp:lastModifiedBy>
  <cp:lastPrinted>2025-11-20T04:59:54Z</cp:lastPrinted>
  <dcterms:created xsi:type="dcterms:W3CDTF">2015-06-05T18:17:20Z</dcterms:created>
  <dcterms:modified xsi:type="dcterms:W3CDTF">2025-11-24T07:44:44Z</dcterms:modified>
</cp:coreProperties>
</file>