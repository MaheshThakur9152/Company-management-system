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9CC0E7-8EB9-4373-B16E-04DD4F455054}" xr6:coauthVersionLast="47" xr6:coauthVersionMax="47" xr10:uidLastSave="{00000000-0000-0000-0000-000000000000}"/>
  <bookViews>
    <workbookView xWindow="-120" yWindow="-120" windowWidth="29040" windowHeight="15720" xr2:uid="{95447BEA-CE6C-4AE8-B4D6-EE22091282D5}"/>
  </bookViews>
  <sheets>
    <sheet name="Ajmera-HK-OCT-T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2" l="1"/>
  <c r="G17" i="2"/>
  <c r="G27" i="2" s="1"/>
  <c r="G28" i="2" s="1"/>
  <c r="G31" i="2" s="1"/>
  <c r="G33" i="2" l="1"/>
  <c r="G32" i="2"/>
  <c r="G35" i="2" s="1"/>
  <c r="G37" i="2" s="1"/>
</calcChain>
</file>

<file path=xl/sharedStrings.xml><?xml version="1.0" encoding="utf-8"?>
<sst xmlns="http://schemas.openxmlformats.org/spreadsheetml/2006/main" count="47" uniqueCount="46">
  <si>
    <t>AMBE SERVICE FACILITIES PRIVATE LIMITED</t>
  </si>
  <si>
    <t xml:space="preserve">Shop No - 49 A, Ground Floor, Pooja Enclave CHS Ltd, </t>
  </si>
  <si>
    <t>Ganesh Nagar, Kandivali (West), Mumbai 400 067.</t>
  </si>
  <si>
    <t>Invoice No :  ASF/25-26/027</t>
  </si>
  <si>
    <t>Contact No: 022 45066566 / 9619607537</t>
  </si>
  <si>
    <t>Date:  24 November 2025</t>
  </si>
  <si>
    <t>Email : contact@ambeservice.com / Website : ambeservice.com</t>
  </si>
  <si>
    <t>CIN NO. : U80200MH2023PTC412420</t>
  </si>
  <si>
    <t>GSTIN :  27AAZCA5609F1ZA</t>
  </si>
  <si>
    <t>Billing Period :1st to 31st October  2025</t>
  </si>
  <si>
    <t>M/S. AJMERA REALTY &amp; INFRA INDIA LTD</t>
  </si>
  <si>
    <t>Bhakti Park wadala Mumbai-40037</t>
  </si>
  <si>
    <t>Work Order No.:  MHTWOS0007425-26</t>
  </si>
  <si>
    <t>Contact No: +91 99875 23683</t>
  </si>
  <si>
    <t>Work Order Date:  17-06-2025</t>
  </si>
  <si>
    <t>Email :  akash@ajmera.com</t>
  </si>
  <si>
    <r>
      <rPr>
        <sz val="10"/>
        <color theme="1"/>
        <rFont val="Aptos Narrow"/>
        <family val="2"/>
        <scheme val="minor"/>
      </rPr>
      <t>Work Order Period</t>
    </r>
    <r>
      <rPr>
        <sz val="11"/>
        <color theme="1"/>
        <rFont val="Aptos Narrow"/>
        <family val="2"/>
        <scheme val="minor"/>
      </rPr>
      <t>: 01/06/2025-30/11/2025</t>
    </r>
  </si>
  <si>
    <t>GSTIN : 27AAACS7866F1Z2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</si>
  <si>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</si>
  <si>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</si>
  <si>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</si>
  <si>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</si>
  <si>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</si>
  <si>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
Days</t>
  </si>
  <si>
    <t>Persons</t>
  </si>
  <si>
    <r>
      <t xml:space="preserve">Amount </t>
    </r>
    <r>
      <rPr>
        <sz val="8"/>
        <color theme="1"/>
        <rFont val="Aptos Narrow"/>
        <family val="2"/>
        <scheme val="minor"/>
      </rPr>
      <t>(RS)</t>
    </r>
  </si>
  <si>
    <t xml:space="preserve">Housekeeping </t>
  </si>
  <si>
    <t>Overtime in hours (Housekeeping)</t>
  </si>
  <si>
    <t>Sub Total</t>
  </si>
  <si>
    <t>Management charges @ 7%</t>
  </si>
  <si>
    <t>Material Charges</t>
  </si>
  <si>
    <t>Bank Details</t>
  </si>
  <si>
    <t xml:space="preserve">                  </t>
  </si>
  <si>
    <t xml:space="preserve">Bank Name :  Axis bank </t>
  </si>
  <si>
    <t xml:space="preserve">Total </t>
  </si>
  <si>
    <t>Acc no : 924020001871570</t>
  </si>
  <si>
    <t>Add CGST @ 9%</t>
  </si>
  <si>
    <t>IFSC Code: UTIB0001572   Branch: kandivali west,Link Road.</t>
  </si>
  <si>
    <t>Add SGST @ 9%</t>
  </si>
  <si>
    <t xml:space="preserve">Amount Chargeble in words(INR) : </t>
  </si>
  <si>
    <t xml:space="preserve">One Lakh Nine Thousand Six Hundred and </t>
  </si>
  <si>
    <t>Round off (+-)</t>
  </si>
  <si>
    <t>Thirty Four Only</t>
  </si>
  <si>
    <t xml:space="preserve">Total Amount </t>
  </si>
  <si>
    <t xml:space="preserve">Terms &amp; condition : 
Payment can only be done in cheque/DD, NEFT, RTGS </t>
  </si>
  <si>
    <t xml:space="preserve">For Ambe Service Facilities Pvt Ltd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</si>
</sst>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5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/>
    <xf numFmtId="0" fontId="4" fillId="0" borderId="0" xfId="0" applyFont="1"/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4" fillId="0" borderId="8" xfId="0" applyFont="1" applyBorder="1"/>
    <xf numFmtId="0" fontId="4" fillId="0" borderId="9" xfId="0" applyFont="1" applyBorder="1"/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7" fillId="0" borderId="10" xfId="0" applyFont="1" applyBorder="1"/>
    <xf numFmtId="0" fontId="0" fillId="0" borderId="14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4" xfId="0" applyBorder="1"/>
    <xf numFmtId="2" fontId="0" fillId="0" borderId="14" xfId="0" applyNumberFormat="1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3" fontId="0" fillId="0" borderId="1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15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7" xfId="0" applyNumberFormat="1" applyBorder="1"/>
    <xf numFmtId="0" fontId="4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2" fontId="0" fillId="0" borderId="14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5" xfId="0" applyNumberForma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2" fontId="0" fillId="0" borderId="12" xfId="0" applyNumberForma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4" fontId="0" fillId="0" borderId="15" xfId="0" applyNumberFormat="1" applyBorder="1" applyAlignment="1">
      <alignment horizontal="right"/>
    </xf>
    <xf numFmtId="4" fontId="0" fillId="0" borderId="5" xfId="0" applyNumberFormat="1" applyBorder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" fontId="8" fillId="0" borderId="14" xfId="0" applyNumberFormat="1" applyFont="1" applyBorder="1"/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right" vertical="top" wrapText="1"/>
    </xf>
    <xf numFmtId="0" fontId="0" fillId="0" borderId="11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0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2C5415C-BB3D-4E81-9411-EAEB66B4AF34}"/>
            </a:ext>
          </a:extLst>
        </xdr:cNvPr>
        <xdr:cNvCxnSpPr/>
      </xdr:nvCxnSpPr>
      <xdr:spPr>
        <a:xfrm>
          <a:off x="0" y="3133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2D1D4AF-DD29-4610-BDAF-C32F765B67B1}"/>
            </a:ext>
          </a:extLst>
        </xdr:cNvPr>
        <xdr:cNvCxnSpPr/>
      </xdr:nvCxnSpPr>
      <xdr:spPr>
        <a:xfrm flipV="1">
          <a:off x="0" y="4848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0</xdr:rowOff>
    </xdr:from>
    <xdr:to>
      <xdr:col>0</xdr:col>
      <xdr:colOff>0</xdr:colOff>
      <xdr:row>33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ADEE67-4369-4D17-91CA-CE323D5D2EEE}"/>
            </a:ext>
          </a:extLst>
        </xdr:cNvPr>
        <xdr:cNvCxnSpPr/>
      </xdr:nvCxnSpPr>
      <xdr:spPr>
        <a:xfrm flipV="1">
          <a:off x="0" y="6353175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7905289-BC68-417C-AB48-FF9CF0AB7B56}"/>
            </a:ext>
          </a:extLst>
        </xdr:cNvPr>
        <xdr:cNvCxnSpPr/>
      </xdr:nvCxnSpPr>
      <xdr:spPr>
        <a:xfrm>
          <a:off x="0" y="4848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F060EF2-0D5C-4DF3-891C-C89891F014D9}"/>
            </a:ext>
          </a:extLst>
        </xdr:cNvPr>
        <xdr:cNvCxnSpPr/>
      </xdr:nvCxnSpPr>
      <xdr:spPr>
        <a:xfrm>
          <a:off x="0" y="842010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B5A2579-6254-4CFD-BFF1-73F115DC5A14}"/>
            </a:ext>
          </a:extLst>
        </xdr:cNvPr>
        <xdr:cNvCxnSpPr/>
      </xdr:nvCxnSpPr>
      <xdr:spPr>
        <a:xfrm flipV="1">
          <a:off x="0" y="878205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F5DDD80-4AD5-4791-BA6B-660472733C35}"/>
            </a:ext>
          </a:extLst>
        </xdr:cNvPr>
        <xdr:cNvCxnSpPr/>
      </xdr:nvCxnSpPr>
      <xdr:spPr>
        <a:xfrm>
          <a:off x="0" y="3133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40E55B1-7E24-4670-88C8-E273CA1F6CFD}"/>
            </a:ext>
          </a:extLst>
        </xdr:cNvPr>
        <xdr:cNvCxnSpPr/>
      </xdr:nvCxnSpPr>
      <xdr:spPr>
        <a:xfrm>
          <a:off x="0" y="4848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AFDE3EE-7A43-4D2F-BCE2-A0C7B1726C74}"/>
            </a:ext>
          </a:extLst>
        </xdr:cNvPr>
        <xdr:cNvCxnSpPr/>
      </xdr:nvCxnSpPr>
      <xdr:spPr>
        <a:xfrm flipV="1">
          <a:off x="0" y="878205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D3CEB38-8CEA-48FE-BF61-E1035ED5968D}"/>
            </a:ext>
          </a:extLst>
        </xdr:cNvPr>
        <xdr:cNvCxnSpPr/>
      </xdr:nvCxnSpPr>
      <xdr:spPr>
        <a:xfrm>
          <a:off x="0" y="3133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A92C1F5-A546-4266-8A41-F64971B9EB06}"/>
            </a:ext>
          </a:extLst>
        </xdr:cNvPr>
        <xdr:cNvCxnSpPr/>
      </xdr:nvCxnSpPr>
      <xdr:spPr>
        <a:xfrm flipV="1">
          <a:off x="0" y="4848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DD61F1D-0EF9-424B-9B37-10356779E194}"/>
            </a:ext>
          </a:extLst>
        </xdr:cNvPr>
        <xdr:cNvCxnSpPr/>
      </xdr:nvCxnSpPr>
      <xdr:spPr>
        <a:xfrm>
          <a:off x="0" y="4848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DCE434E-17CE-4276-B8B3-94842F8D6F54}"/>
            </a:ext>
          </a:extLst>
        </xdr:cNvPr>
        <xdr:cNvCxnSpPr/>
      </xdr:nvCxnSpPr>
      <xdr:spPr>
        <a:xfrm flipV="1">
          <a:off x="0" y="878205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033DBBF-6C15-442B-8FE3-98B90F15F77D}"/>
            </a:ext>
          </a:extLst>
        </xdr:cNvPr>
        <xdr:cNvCxnSpPr/>
      </xdr:nvCxnSpPr>
      <xdr:spPr>
        <a:xfrm>
          <a:off x="0" y="67341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1B938DF-225A-4718-82E0-34C138DAB592}"/>
            </a:ext>
          </a:extLst>
        </xdr:cNvPr>
        <xdr:cNvCxnSpPr/>
      </xdr:nvCxnSpPr>
      <xdr:spPr>
        <a:xfrm>
          <a:off x="0" y="67341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29E273D-BFEC-4EA7-92F9-80B25C49325F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177949</xdr:rowOff>
    </xdr:from>
    <xdr:to>
      <xdr:col>0</xdr:col>
      <xdr:colOff>17930</xdr:colOff>
      <xdr:row>28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E246B22-3C06-4350-A696-85B9EA607AAB}"/>
            </a:ext>
          </a:extLst>
        </xdr:cNvPr>
        <xdr:cNvCxnSpPr/>
      </xdr:nvCxnSpPr>
      <xdr:spPr>
        <a:xfrm>
          <a:off x="0" y="5597674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83DD0CF-F64D-4EAE-B472-6BFE79EFD9C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185351</xdr:rowOff>
    </xdr:from>
    <xdr:to>
      <xdr:col>0</xdr:col>
      <xdr:colOff>3021</xdr:colOff>
      <xdr:row>43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84FF9C1-1692-4FED-9255-2A8C6BDE6EE8}"/>
            </a:ext>
          </a:extLst>
        </xdr:cNvPr>
        <xdr:cNvCxnSpPr/>
      </xdr:nvCxnSpPr>
      <xdr:spPr>
        <a:xfrm>
          <a:off x="0" y="8233976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6BAA1AF-0D43-473F-8C9A-A6C49F080EF7}"/>
            </a:ext>
          </a:extLst>
        </xdr:cNvPr>
        <xdr:cNvCxnSpPr/>
      </xdr:nvCxnSpPr>
      <xdr:spPr>
        <a:xfrm>
          <a:off x="0" y="23907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20594</xdr:rowOff>
    </xdr:from>
    <xdr:to>
      <xdr:col>0</xdr:col>
      <xdr:colOff>91343</xdr:colOff>
      <xdr:row>29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A80B070-AAF7-44BA-BE41-9FF7F43583DA}"/>
            </a:ext>
          </a:extLst>
        </xdr:cNvPr>
        <xdr:cNvCxnSpPr/>
      </xdr:nvCxnSpPr>
      <xdr:spPr>
        <a:xfrm>
          <a:off x="0" y="5630819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DF08B96-F2D9-47D7-A88A-72B7E0F3BE4A}"/>
            </a:ext>
          </a:extLst>
        </xdr:cNvPr>
        <xdr:cNvCxnSpPr/>
      </xdr:nvCxnSpPr>
      <xdr:spPr>
        <a:xfrm>
          <a:off x="0" y="63425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</xdr:rowOff>
    </xdr:from>
    <xdr:to>
      <xdr:col>0</xdr:col>
      <xdr:colOff>11205</xdr:colOff>
      <xdr:row>31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6B11ADC-60C8-494B-B74C-BC299A4B8771}"/>
            </a:ext>
          </a:extLst>
        </xdr:cNvPr>
        <xdr:cNvCxnSpPr/>
      </xdr:nvCxnSpPr>
      <xdr:spPr>
        <a:xfrm>
          <a:off x="0" y="59817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5BCB8A9-119F-45F6-8AAA-7BDF70A918E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8537401-E287-49EC-8822-73B372CB7C83}"/>
            </a:ext>
          </a:extLst>
        </xdr:cNvPr>
        <xdr:cNvCxnSpPr/>
      </xdr:nvCxnSpPr>
      <xdr:spPr>
        <a:xfrm>
          <a:off x="0" y="23907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8965</xdr:colOff>
      <xdr:row>28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5C57D35-A630-4138-B454-3414CC86ED6A}"/>
            </a:ext>
          </a:extLst>
        </xdr:cNvPr>
        <xdr:cNvCxnSpPr/>
      </xdr:nvCxnSpPr>
      <xdr:spPr>
        <a:xfrm>
          <a:off x="0" y="5419725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E55EFD-B248-430C-84B7-036AE336097E}"/>
            </a:ext>
          </a:extLst>
        </xdr:cNvPr>
        <xdr:cNvCxnSpPr/>
      </xdr:nvCxnSpPr>
      <xdr:spPr>
        <a:xfrm>
          <a:off x="0" y="63425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D9ED599-2945-489B-B323-72FC9F74B24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A35055BA-4133-443B-9A5D-61AD7AD26755}"/>
            </a:ext>
          </a:extLst>
        </xdr:cNvPr>
        <xdr:cNvCxnSpPr/>
      </xdr:nvCxnSpPr>
      <xdr:spPr>
        <a:xfrm>
          <a:off x="0" y="33242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F17BFC6-3FAB-4BD2-98F2-5CBC81B912BC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3EE240A-CEC4-4326-BC2E-C5D1FE82E33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C29C4D2-E300-4826-9759-60AD41BEE030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0559454-B0BF-4630-8100-3901121C62C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C5E36A06-399A-48F3-81C5-43749AE3D08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0D85A8F-0B34-4C9F-B099-EDB6400E0A5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5F5CB08-813A-4E0A-8293-045A44AF248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6E390D-FD72-4225-8DAE-F656F421396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3CD962A-8E9A-4AD6-92F3-B16DF9189EB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ED6819B-A6F7-41D8-95C5-DD5B6C12EE9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7B8729B-32D5-485A-9E80-47A893EF2E0E}"/>
            </a:ext>
          </a:extLst>
        </xdr:cNvPr>
        <xdr:cNvCxnSpPr/>
      </xdr:nvCxnSpPr>
      <xdr:spPr>
        <a:xfrm>
          <a:off x="0" y="33242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A215-6C61-41BA-B1D5-32B706944D20}">
  <sheetPr>
    <pageSetUpPr fitToPage="1"/>
  </sheetPr>
  <dimension ref="A1:G47"/>
  <sheetViews>
    <sheetView tabSelected="1" view="pageLayout" zoomScale="110" zoomScaleNormal="100" zoomScalePageLayoutView="110" workbookViewId="0">
      <selection activeCell="D10" sqref="D10"/>
    </sheetView>
  </sheetViews>
  <sheetFormatPr defaultRowHeight="15" x14ac:dyDescent="0.25"/>
  <cols>
    <col min="1" max="1" width="5.28515625" customWidth="1"/>
    <col min="2" max="2" width="27.85546875" customWidth="1"/>
    <col min="3" max="3" width="9.5703125" bestFit="1" customWidth="1"/>
    <col min="4" max="4" width="8.42578125" customWidth="1"/>
    <col min="5" max="5" width="9.42578125" customWidth="1"/>
    <col min="6" max="6" width="13.5703125" customWidth="1"/>
    <col min="7" max="7" width="22.28515625" customWidth="1"/>
    <col min="8" max="8" width="11.42578125" bestFit="1" customWidth="1"/>
  </cols>
  <sheetData>
    <row r="1" spans="1:7" ht="24" x14ac:dyDescent="0.4">
      <c r="A1" s="1" t="s">
        <v>0</v>
      </c>
      <c r="B1" s="2"/>
      <c r="C1" s="2"/>
      <c r="D1" s="2"/>
      <c r="E1" s="2"/>
      <c r="F1" s="3"/>
      <c r="G1" s="4"/>
    </row>
    <row r="2" spans="1:7" x14ac:dyDescent="0.25">
      <c r="A2" s="5" t="s">
        <v>1</v>
      </c>
      <c r="B2" s="6"/>
      <c r="C2" s="6"/>
      <c r="D2" s="6"/>
      <c r="E2" s="7"/>
      <c r="F2" s="8"/>
      <c r="G2" s="9"/>
    </row>
    <row r="3" spans="1:7" x14ac:dyDescent="0.25">
      <c r="A3" s="5" t="s">
        <v>2</v>
      </c>
      <c r="B3" s="6"/>
      <c r="C3" s="6"/>
      <c r="D3" s="6"/>
      <c r="E3" s="7"/>
      <c r="F3" s="10" t="s">
        <v>3</v>
      </c>
      <c r="G3" s="11"/>
    </row>
    <row r="4" spans="1:7" x14ac:dyDescent="0.25">
      <c r="A4" s="10" t="s">
        <v>4</v>
      </c>
      <c r="B4" s="12"/>
      <c r="C4" s="12"/>
      <c r="D4" s="12"/>
      <c r="E4" s="12"/>
      <c r="F4" s="13" t="s">
        <v>5</v>
      </c>
      <c r="G4" s="14"/>
    </row>
    <row r="5" spans="1:7" x14ac:dyDescent="0.25">
      <c r="A5" s="10" t="s">
        <v>6</v>
      </c>
      <c r="B5" s="12"/>
      <c r="C5" s="12"/>
      <c r="D5" s="12"/>
      <c r="E5" s="12"/>
      <c r="F5" s="15"/>
      <c r="G5" s="16"/>
    </row>
    <row r="6" spans="1:7" x14ac:dyDescent="0.25">
      <c r="A6" s="15" t="s">
        <v>7</v>
      </c>
      <c r="B6" s="17"/>
      <c r="C6" s="17"/>
      <c r="D6" s="17"/>
      <c r="E6" s="17"/>
      <c r="F6" s="13"/>
      <c r="G6" s="14"/>
    </row>
    <row r="7" spans="1:7" x14ac:dyDescent="0.25">
      <c r="A7" s="18" t="s">
        <v>8</v>
      </c>
      <c r="B7" s="19"/>
      <c r="C7" s="19"/>
      <c r="D7" s="19"/>
      <c r="E7" s="19"/>
      <c r="F7" s="18" t="s">
        <v>9</v>
      </c>
      <c r="G7" s="20"/>
    </row>
    <row r="8" spans="1:7" x14ac:dyDescent="0.25">
      <c r="A8" s="21" t="s">
        <v>10</v>
      </c>
      <c r="B8" s="22"/>
      <c r="C8" s="22"/>
      <c r="D8" s="22"/>
      <c r="E8" s="22"/>
      <c r="F8" s="23"/>
      <c r="G8" s="24"/>
    </row>
    <row r="9" spans="1:7" x14ac:dyDescent="0.25">
      <c r="A9" s="25" t="s">
        <v>11</v>
      </c>
      <c r="B9" s="26"/>
      <c r="C9" s="26"/>
      <c r="D9" s="26"/>
      <c r="E9" s="26"/>
      <c r="F9" s="27" t="s">
        <v>12</v>
      </c>
      <c r="G9" s="28"/>
    </row>
    <row r="10" spans="1:7" x14ac:dyDescent="0.25">
      <c r="A10" s="29" t="s">
        <v>13</v>
      </c>
      <c r="B10" s="30"/>
      <c r="C10" s="30"/>
      <c r="D10" s="30"/>
      <c r="E10" s="30"/>
      <c r="F10" s="10" t="s">
        <v>14</v>
      </c>
      <c r="G10" s="11"/>
    </row>
    <row r="11" spans="1:7" x14ac:dyDescent="0.25">
      <c r="A11" s="31" t="s">
        <v>15</v>
      </c>
      <c r="B11" s="32"/>
      <c r="C11" s="32"/>
      <c r="D11" s="32"/>
      <c r="E11" s="32"/>
      <c r="F11" s="33" t="s">
        <v>16</v>
      </c>
      <c r="G11" s="34"/>
    </row>
    <row r="12" spans="1:7" x14ac:dyDescent="0.25">
      <c r="A12" s="35" t="s">
        <v>17</v>
      </c>
      <c r="B12" s="36"/>
      <c r="C12" s="36"/>
      <c r="D12" s="36"/>
      <c r="E12" s="36"/>
      <c r="F12" s="37"/>
      <c r="G12" s="38"/>
    </row>
    <row r="13" spans="1:7" ht="14.45" customHeight="1" x14ac:dyDescent="0.25">
      <c r="A13" s="39" t="s">
        <v>18</v>
      </c>
      <c r="B13" s="40"/>
      <c r="C13" s="40"/>
      <c r="D13" s="40"/>
      <c r="E13" s="40"/>
      <c r="F13" s="40"/>
      <c r="G13" s="41"/>
    </row>
    <row r="14" spans="1:7" x14ac:dyDescent="0.25">
      <c r="A14" s="42"/>
      <c r="B14" s="43"/>
      <c r="C14" s="43"/>
      <c r="D14" s="43"/>
      <c r="E14" s="43"/>
      <c r="F14" s="43"/>
      <c r="G14" s="44"/>
    </row>
    <row r="15" spans="1:7" ht="14.45" customHeight="1" x14ac:dyDescent="0.25">
      <c r="A15" s="45" t="s">
        <v>19</v>
      </c>
      <c r="B15" s="45" t="s">
        <v>20</v>
      </c>
      <c r="C15" s="45" t="s">
        <v>21</v>
      </c>
      <c r="D15" s="45" t="s">
        <v>22</v>
      </c>
      <c r="E15" s="46" t="s">
        <v>23</v>
      </c>
      <c r="F15" s="45" t="s">
        <v>24</v>
      </c>
      <c r="G15" s="47" t="s">
        <v>25</v>
      </c>
    </row>
    <row r="16" spans="1:7" x14ac:dyDescent="0.25">
      <c r="A16" s="48"/>
      <c r="B16" s="48"/>
      <c r="C16" s="48"/>
      <c r="D16" s="48"/>
      <c r="E16" s="49"/>
      <c r="F16" s="48"/>
      <c r="G16" s="50"/>
    </row>
    <row r="17" spans="1:7" x14ac:dyDescent="0.25">
      <c r="A17" s="51">
        <v>1</v>
      </c>
      <c r="B17" s="51" t="s">
        <v>26</v>
      </c>
      <c r="C17" s="52">
        <v>9985</v>
      </c>
      <c r="D17" s="53">
        <v>19000</v>
      </c>
      <c r="E17" s="54">
        <v>131</v>
      </c>
      <c r="F17" s="55">
        <v>5</v>
      </c>
      <c r="G17" s="56">
        <f>E17*(D17/31)</f>
        <v>80290.322580645152</v>
      </c>
    </row>
    <row r="18" spans="1:7" x14ac:dyDescent="0.25">
      <c r="A18" s="57">
        <v>2</v>
      </c>
      <c r="B18" s="57" t="s">
        <v>27</v>
      </c>
      <c r="C18" s="58"/>
      <c r="D18" s="59"/>
      <c r="E18" s="60">
        <v>0</v>
      </c>
      <c r="F18" s="61"/>
      <c r="G18" s="56">
        <f>E18*(D17/30/9)</f>
        <v>0</v>
      </c>
    </row>
    <row r="19" spans="1:7" x14ac:dyDescent="0.25">
      <c r="A19" s="8"/>
      <c r="B19" s="62"/>
      <c r="C19" s="8"/>
      <c r="D19" s="62"/>
      <c r="E19" s="8"/>
      <c r="F19" s="9"/>
      <c r="G19" s="9"/>
    </row>
    <row r="20" spans="1:7" x14ac:dyDescent="0.25">
      <c r="A20" s="13"/>
      <c r="B20" s="63"/>
      <c r="C20" s="13"/>
      <c r="D20" s="63"/>
      <c r="E20" s="13"/>
      <c r="F20" s="14"/>
      <c r="G20" s="14"/>
    </row>
    <row r="21" spans="1:7" x14ac:dyDescent="0.25">
      <c r="A21" s="64"/>
      <c r="B21" s="65"/>
      <c r="C21" s="66"/>
      <c r="D21" s="67"/>
      <c r="E21" s="68"/>
      <c r="G21" s="69"/>
    </row>
    <row r="22" spans="1:7" x14ac:dyDescent="0.25">
      <c r="A22" s="64"/>
      <c r="B22" s="65"/>
      <c r="C22" s="66"/>
      <c r="D22" s="67"/>
      <c r="E22" s="68"/>
      <c r="G22" s="69"/>
    </row>
    <row r="23" spans="1:7" x14ac:dyDescent="0.25">
      <c r="A23" s="64"/>
      <c r="B23" s="65"/>
      <c r="C23" s="66"/>
      <c r="D23" s="67"/>
      <c r="E23" s="68"/>
      <c r="G23" s="69"/>
    </row>
    <row r="24" spans="1:7" x14ac:dyDescent="0.25">
      <c r="A24" s="64"/>
      <c r="B24" s="65"/>
      <c r="C24" s="66"/>
      <c r="D24" s="67"/>
      <c r="E24" s="68"/>
      <c r="G24" s="69"/>
    </row>
    <row r="25" spans="1:7" x14ac:dyDescent="0.25">
      <c r="A25" s="64"/>
      <c r="B25" s="65"/>
      <c r="C25" s="66"/>
      <c r="D25" s="67"/>
      <c r="E25" s="68"/>
      <c r="G25" s="69"/>
    </row>
    <row r="26" spans="1:7" x14ac:dyDescent="0.25">
      <c r="A26" s="66"/>
      <c r="B26" s="65"/>
      <c r="C26" s="66"/>
      <c r="D26" s="63"/>
      <c r="E26" s="68"/>
      <c r="G26" s="69"/>
    </row>
    <row r="27" spans="1:7" x14ac:dyDescent="0.25">
      <c r="A27" s="63"/>
      <c r="B27" s="14"/>
      <c r="C27" s="63"/>
      <c r="D27" s="70" t="s">
        <v>28</v>
      </c>
      <c r="E27" s="71"/>
      <c r="F27" s="72"/>
      <c r="G27" s="56">
        <f>G16+G17</f>
        <v>80290.322580645152</v>
      </c>
    </row>
    <row r="28" spans="1:7" x14ac:dyDescent="0.25">
      <c r="A28" s="63"/>
      <c r="B28" s="63"/>
      <c r="C28" s="63"/>
      <c r="D28" s="73" t="s">
        <v>29</v>
      </c>
      <c r="E28" s="3"/>
      <c r="F28" s="4"/>
      <c r="G28" s="56">
        <f>G27*7%</f>
        <v>5620.322580645161</v>
      </c>
    </row>
    <row r="29" spans="1:7" ht="15" customHeight="1" x14ac:dyDescent="0.25">
      <c r="A29" s="61"/>
      <c r="B29" s="61"/>
      <c r="C29" s="61"/>
      <c r="D29" s="12" t="s">
        <v>30</v>
      </c>
      <c r="E29" s="12"/>
      <c r="F29" s="12"/>
      <c r="G29" s="56">
        <v>7000</v>
      </c>
    </row>
    <row r="30" spans="1:7" x14ac:dyDescent="0.25">
      <c r="A30" s="74" t="s">
        <v>31</v>
      </c>
      <c r="B30" s="75"/>
      <c r="C30" s="76"/>
      <c r="D30" s="77"/>
      <c r="E30" s="75"/>
      <c r="F30" s="76"/>
      <c r="G30" s="78" t="s">
        <v>32</v>
      </c>
    </row>
    <row r="31" spans="1:7" ht="14.65" customHeight="1" x14ac:dyDescent="0.25">
      <c r="A31" s="27" t="s">
        <v>33</v>
      </c>
      <c r="B31" s="79"/>
      <c r="C31" s="79"/>
      <c r="D31" s="80" t="s">
        <v>34</v>
      </c>
      <c r="E31" s="80"/>
      <c r="F31" s="80"/>
      <c r="G31" s="81">
        <f>G28+G29+G27</f>
        <v>92910.645161290318</v>
      </c>
    </row>
    <row r="32" spans="1:7" x14ac:dyDescent="0.25">
      <c r="A32" s="27" t="s">
        <v>35</v>
      </c>
      <c r="B32" s="79"/>
      <c r="C32" s="28"/>
      <c r="D32" s="82" t="s">
        <v>36</v>
      </c>
      <c r="E32" s="71"/>
      <c r="F32" s="72"/>
      <c r="G32" s="81">
        <f>G31*9%</f>
        <v>8361.9580645161277</v>
      </c>
    </row>
    <row r="33" spans="1:7" ht="14.65" customHeight="1" x14ac:dyDescent="0.25">
      <c r="A33" s="27" t="s">
        <v>37</v>
      </c>
      <c r="B33" s="79"/>
      <c r="C33" s="28"/>
      <c r="D33" s="83" t="s">
        <v>38</v>
      </c>
      <c r="E33" s="3"/>
      <c r="F33" s="4"/>
      <c r="G33" s="84">
        <f>G31*9%</f>
        <v>8361.9580645161277</v>
      </c>
    </row>
    <row r="34" spans="1:7" x14ac:dyDescent="0.25">
      <c r="A34" s="74" t="s">
        <v>39</v>
      </c>
      <c r="B34" s="85"/>
      <c r="C34" s="86"/>
      <c r="D34" s="74"/>
      <c r="E34" s="75"/>
      <c r="F34" s="76"/>
      <c r="G34" s="87"/>
    </row>
    <row r="35" spans="1:7" x14ac:dyDescent="0.25">
      <c r="A35" s="88"/>
      <c r="B35" s="89"/>
      <c r="C35" s="90"/>
      <c r="D35" s="88" t="s">
        <v>34</v>
      </c>
      <c r="E35" s="12"/>
      <c r="F35" s="11"/>
      <c r="G35" s="91">
        <f>SUM(G31+G32+G33)</f>
        <v>109634.56129032258</v>
      </c>
    </row>
    <row r="36" spans="1:7" x14ac:dyDescent="0.25">
      <c r="A36" s="27" t="s">
        <v>40</v>
      </c>
      <c r="B36" s="79"/>
      <c r="C36" s="28"/>
      <c r="D36" s="89" t="s">
        <v>41</v>
      </c>
      <c r="E36" s="12"/>
      <c r="F36" s="11"/>
      <c r="G36" s="92">
        <v>0.56000000000000005</v>
      </c>
    </row>
    <row r="37" spans="1:7" ht="15.75" x14ac:dyDescent="0.25">
      <c r="A37" s="93" t="s">
        <v>42</v>
      </c>
      <c r="B37" s="94"/>
      <c r="C37" s="95"/>
      <c r="D37" s="96" t="s">
        <v>43</v>
      </c>
      <c r="E37" s="97"/>
      <c r="F37" s="98"/>
      <c r="G37" s="99">
        <f>G35-G36</f>
        <v>109634.00129032259</v>
      </c>
    </row>
    <row r="38" spans="1:7" ht="15" customHeight="1" x14ac:dyDescent="0.25">
      <c r="A38" s="39" t="s">
        <v>44</v>
      </c>
      <c r="B38" s="100"/>
      <c r="C38" s="101"/>
      <c r="D38" s="102" t="s">
        <v>45</v>
      </c>
      <c r="E38" s="103"/>
      <c r="F38" s="103"/>
      <c r="G38" s="104"/>
    </row>
    <row r="39" spans="1:7" x14ac:dyDescent="0.25">
      <c r="A39" s="105"/>
      <c r="B39" s="106"/>
      <c r="C39" s="107"/>
      <c r="D39" s="108"/>
      <c r="E39" s="109"/>
      <c r="F39" s="109"/>
      <c r="G39" s="110"/>
    </row>
    <row r="40" spans="1:7" ht="14.45" customHeight="1" x14ac:dyDescent="0.25">
      <c r="A40" s="105"/>
      <c r="B40" s="106"/>
      <c r="C40" s="107"/>
      <c r="D40" s="108"/>
      <c r="E40" s="109"/>
      <c r="F40" s="109"/>
      <c r="G40" s="110"/>
    </row>
    <row r="41" spans="1:7" ht="14.45" customHeight="1" x14ac:dyDescent="0.25">
      <c r="A41" s="105"/>
      <c r="B41" s="106"/>
      <c r="C41" s="107"/>
      <c r="D41" s="108"/>
      <c r="E41" s="109"/>
      <c r="F41" s="109"/>
      <c r="G41" s="110"/>
    </row>
    <row r="42" spans="1:7" ht="14.45" customHeight="1" x14ac:dyDescent="0.25">
      <c r="A42" s="105"/>
      <c r="B42" s="106"/>
      <c r="C42" s="107"/>
      <c r="D42" s="108"/>
      <c r="E42" s="109"/>
      <c r="F42" s="109"/>
      <c r="G42" s="110"/>
    </row>
    <row r="43" spans="1:7" ht="14.45" customHeight="1" x14ac:dyDescent="0.25">
      <c r="A43" s="111"/>
      <c r="B43" s="112"/>
      <c r="C43" s="113"/>
      <c r="D43" s="114"/>
      <c r="E43" s="115"/>
      <c r="F43" s="115"/>
      <c r="G43" s="116"/>
    </row>
    <row r="45" spans="1:7" ht="14.45" customHeight="1" x14ac:dyDescent="0.25"/>
    <row r="46" spans="1:7" ht="14.45" customHeight="1" x14ac:dyDescent="0.25"/>
    <row r="47" spans="1:7" ht="14.45" customHeight="1" x14ac:dyDescent="0.25"/>
  </sheetData>
  <mergeCells count="41">
    <mergeCell ref="A36:C36"/>
    <mergeCell ref="D36:F36"/>
    <mergeCell ref="A37:C37"/>
    <mergeCell ref="D37:F37"/>
    <mergeCell ref="A38:C43"/>
    <mergeCell ref="D38:G43"/>
    <mergeCell ref="A31:C31"/>
    <mergeCell ref="D31:F31"/>
    <mergeCell ref="A32:C32"/>
    <mergeCell ref="A33:C33"/>
    <mergeCell ref="D33:F33"/>
    <mergeCell ref="A34:C35"/>
    <mergeCell ref="D34:F34"/>
    <mergeCell ref="D35:F35"/>
    <mergeCell ref="C17:C18"/>
    <mergeCell ref="D17:D18"/>
    <mergeCell ref="D28:F28"/>
    <mergeCell ref="D29:F29"/>
    <mergeCell ref="A30:C30"/>
    <mergeCell ref="D30:F30"/>
    <mergeCell ref="F11:G11"/>
    <mergeCell ref="F12:G12"/>
    <mergeCell ref="A13:G14"/>
    <mergeCell ref="A15:A16"/>
    <mergeCell ref="B15:B16"/>
    <mergeCell ref="C15:C16"/>
    <mergeCell ref="D15:D16"/>
    <mergeCell ref="E15:E16"/>
    <mergeCell ref="F15:F16"/>
    <mergeCell ref="A5:E5"/>
    <mergeCell ref="A7:E7"/>
    <mergeCell ref="F7:G7"/>
    <mergeCell ref="A8:E8"/>
    <mergeCell ref="F9:G9"/>
    <mergeCell ref="F10:G10"/>
    <mergeCell ref="A1:E1"/>
    <mergeCell ref="F1:G1"/>
    <mergeCell ref="A2:E2"/>
    <mergeCell ref="A3:E3"/>
    <mergeCell ref="F3:G3"/>
    <mergeCell ref="A4:E4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&amp;CTAX INVOICE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0977-9671-45D3-978F-EE1CEF2A00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Ajmera-HK-OCT-TI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maheshthakurharishankar@gmail.com</dc:creator>
  <cp:lastModifiedBy>maheshthakurharishankar@gmail.com</cp:lastModifiedBy>
  <dcterms:created xsi:type="dcterms:W3CDTF">2025-11-26T11:23:44Z</dcterms:created>
  <dcterms:modified xsi:type="dcterms:W3CDTF">2025-11-26T11:24:23Z</dcterms:modified>
</cp:coreProperties>
</file>