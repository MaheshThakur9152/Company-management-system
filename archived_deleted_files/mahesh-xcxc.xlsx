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DC7775D-425D-4580-9F16-D89CC32BEE94}" xr6:coauthVersionLast="47" xr6:coauthVersionMax="47" xr10:uidLastSave="{00000000-0000-0000-0000-000000000000}"/>
  <bookViews>
    <workbookView xWindow="-120" yWindow="-120" windowWidth="29040" windowHeight="15720" xr2:uid="{C1F65AF1-CC8B-4476-B03B-9B24BB9731E7}"/>
  </bookViews>
  <sheets>
    <sheet name="Ajmera-Key-sept- 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" l="1"/>
  <c r="G18" i="1"/>
  <c r="G28" i="1" s="1"/>
  <c r="G32" i="1" s="1"/>
  <c r="G33" i="1" l="1"/>
  <c r="G36" i="1" s="1"/>
  <c r="G38" i="1" s="1"/>
  <c r="G34" i="1"/>
</calcChain>
</file>

<file path=xl/sharedStrings.xml><?xml version="1.0" encoding="utf-8"?>
<sst xmlns="http://schemas.openxmlformats.org/spreadsheetml/2006/main" count="47" uniqueCount="46">
  <si>
    <t>AMBE SERVICE FACILITIES PRIVATE LIMITED</t>
  </si>
  <si>
    <t xml:space="preserve">Shop No - 49 A, Ground Floor, Pooja Enclave CHS Ltd, </t>
  </si>
  <si>
    <t>Ganesh Nagar, Kandivali (West), Mumbai 400 067.</t>
  </si>
  <si>
    <t>Invoice No :  ASF/25-26/026</t>
  </si>
  <si>
    <t>Contact No: 022 45066566 / 9619607537</t>
  </si>
  <si>
    <t>Date:  24 November 2025</t>
  </si>
  <si>
    <t>Email : contact@ambeservice.com / Website : ambeservice.com</t>
  </si>
  <si>
    <t>CIN NO. : U80200MH2023PTC412420</t>
  </si>
  <si>
    <t>GSTIN :  27AAZCA5609F1ZA</t>
  </si>
  <si>
    <t>Billing Period :1st to 30th September  2025</t>
  </si>
  <si>
    <t>M/S. AJMERA REALTY &amp; INFRA INDIA LTD</t>
  </si>
  <si>
    <r>
      <rPr>
        <sz val="10"/>
        <color theme="1"/>
        <rFont val="Aptos Narrow"/>
        <family val="2"/>
        <scheme val="minor"/>
      </rPr>
      <t>Project Name :</t>
    </r>
    <r>
      <rPr>
        <b/>
        <sz val="10"/>
        <color theme="1"/>
        <rFont val="Aptos Narrow"/>
        <family val="2"/>
        <scheme val="minor"/>
      </rPr>
      <t xml:space="preserve"> Ajmera Manhattan</t>
    </r>
  </si>
  <si>
    <t>Bhakti Park wadala Mumbai-40037</t>
  </si>
  <si>
    <t>Work Order No.:  MHTWOS0015825-26</t>
  </si>
  <si>
    <t>Contact No: +91 99875 23683</t>
  </si>
  <si>
    <t>Work Order Date:  10-10-2025</t>
  </si>
  <si>
    <t>Email :  akash@ajmera.com</t>
  </si>
  <si>
    <r>
      <rPr>
        <sz val="10"/>
        <color theme="1"/>
        <rFont val="Aptos Narrow"/>
        <family val="2"/>
        <scheme val="minor"/>
      </rPr>
      <t>Work Order Period</t>
    </r>
    <r>
      <rPr>
        <sz val="11"/>
        <color theme="1"/>
        <rFont val="Aptos Narrow"/>
        <family val="2"/>
        <scheme val="minor"/>
      </rPr>
      <t>: 01/09/2025-31/03/2026</t>
    </r>
  </si>
  <si>
    <t>GSTIN : 27AAACS7866F1Z2</t>
  </si>
  <si>
    <t>We thank you very much for valuable interest shown in our organzaion. We would like to submit  our bill for providing our services.</t>
  </si>
  <si>
    <t>Sr
 No</t>
  </si>
  <si>
    <t>Description of Services</t>
  </si>
  <si>
    <t>HSN Code</t>
  </si>
  <si>
    <t>Rate</t>
  </si>
  <si>
    <t>Working 
Days</t>
  </si>
  <si>
    <t>Persons</t>
  </si>
  <si>
    <r>
      <t xml:space="preserve">Amount </t>
    </r>
    <r>
      <rPr>
        <sz val="8"/>
        <color theme="1"/>
        <rFont val="Aptos Narrow"/>
        <family val="2"/>
        <scheme val="minor"/>
      </rPr>
      <t>(RS)</t>
    </r>
  </si>
  <si>
    <t>Key Supervisor</t>
  </si>
  <si>
    <t>Overtime in hours (Key Supervisor)</t>
  </si>
  <si>
    <t>Sub Total</t>
  </si>
  <si>
    <t>Management charges @ 7%</t>
  </si>
  <si>
    <t>Material Charges</t>
  </si>
  <si>
    <t>Bank Details</t>
  </si>
  <si>
    <t xml:space="preserve">                  </t>
  </si>
  <si>
    <t xml:space="preserve">Bank Name :  Axis bank </t>
  </si>
  <si>
    <t xml:space="preserve">Total </t>
  </si>
  <si>
    <t>Acc no : 924020001871570</t>
  </si>
  <si>
    <t>Add CGST @ 9%</t>
  </si>
  <si>
    <t>IFSC Code: UTIB0001572   Branch: kandivali west,Link Road.</t>
  </si>
  <si>
    <t>Add SGST @ 9%</t>
  </si>
  <si>
    <t xml:space="preserve">Amount Chargeble in words(INR) : </t>
  </si>
  <si>
    <t>Thirty  Thousand Four Hundred and Eighty Three Only</t>
  </si>
  <si>
    <t>Round off (+-)</t>
  </si>
  <si>
    <t>Total Amount</t>
  </si>
  <si>
    <t xml:space="preserve">Terms &amp; condition : 
Payment can only be done in cheque/DD, NEFT, RTGS </t>
  </si>
  <si>
    <t xml:space="preserve">For Ambe Service Facilities Pvt Ltd  
Authorized signatory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</si>
</sst>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0" fontId="5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4" fillId="0" borderId="8" xfId="0" applyFont="1" applyBorder="1"/>
    <xf numFmtId="0" fontId="4" fillId="0" borderId="9" xfId="0" applyFont="1" applyBorder="1"/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6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7" fillId="0" borderId="10" xfId="0" applyFont="1" applyBorder="1"/>
    <xf numFmtId="0" fontId="0" fillId="0" borderId="14" xfId="0" applyBorder="1" applyAlignment="1">
      <alignment vertical="center"/>
    </xf>
    <xf numFmtId="0" fontId="0" fillId="0" borderId="12" xfId="0" applyBorder="1" applyAlignment="1">
      <alignment horizontal="right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4" xfId="0" applyBorder="1"/>
    <xf numFmtId="2" fontId="0" fillId="0" borderId="14" xfId="0" applyNumberFormat="1" applyBorder="1"/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right" vertical="center"/>
    </xf>
    <xf numFmtId="3" fontId="0" fillId="0" borderId="13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/>
    <xf numFmtId="0" fontId="0" fillId="0" borderId="12" xfId="0" applyBorder="1"/>
    <xf numFmtId="0" fontId="0" fillId="0" borderId="15" xfId="0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5" xfId="0" applyBorder="1" applyAlignment="1">
      <alignment horizontal="right" vertical="center"/>
    </xf>
    <xf numFmtId="3" fontId="0" fillId="0" borderId="15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15" xfId="0" applyNumberForma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3" fontId="0" fillId="0" borderId="7" xfId="0" applyNumberFormat="1" applyBorder="1"/>
    <xf numFmtId="0" fontId="4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2" fontId="0" fillId="0" borderId="13" xfId="0" applyNumberFormat="1" applyBorder="1" applyAlignment="1">
      <alignment horizontal="right"/>
    </xf>
    <xf numFmtId="0" fontId="1" fillId="0" borderId="1" xfId="0" applyFont="1" applyBorder="1" applyAlignment="1">
      <alignment horizontal="left"/>
    </xf>
    <xf numFmtId="2" fontId="0" fillId="0" borderId="14" xfId="0" applyNumberFormat="1" applyBorder="1" applyAlignment="1">
      <alignment horizontal="right"/>
    </xf>
    <xf numFmtId="0" fontId="1" fillId="0" borderId="1" xfId="0" applyFont="1" applyBorder="1" applyAlignment="1">
      <alignment horizontal="left"/>
    </xf>
    <xf numFmtId="2" fontId="0" fillId="0" borderId="5" xfId="0" applyNumberFormat="1" applyBorder="1" applyAlignment="1">
      <alignment horizontal="right"/>
    </xf>
    <xf numFmtId="0" fontId="1" fillId="0" borderId="11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2" fontId="0" fillId="0" borderId="12" xfId="0" applyNumberFormat="1" applyBorder="1"/>
    <xf numFmtId="2" fontId="0" fillId="0" borderId="5" xfId="0" applyNumberFormat="1" applyBorder="1"/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4" fontId="0" fillId="0" borderId="5" xfId="0" applyNumberFormat="1" applyBorder="1"/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3" fontId="0" fillId="0" borderId="15" xfId="0" applyNumberFormat="1" applyBorder="1" applyAlignment="1">
      <alignment horizontal="right"/>
    </xf>
    <xf numFmtId="0" fontId="0" fillId="0" borderId="1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right" vertical="top" wrapText="1"/>
    </xf>
    <xf numFmtId="0" fontId="0" fillId="0" borderId="11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0" fillId="0" borderId="10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6334AE5-9996-46D2-9F36-06637609EE8C}"/>
            </a:ext>
          </a:extLst>
        </xdr:cNvPr>
        <xdr:cNvCxnSpPr/>
      </xdr:nvCxnSpPr>
      <xdr:spPr>
        <a:xfrm>
          <a:off x="0" y="3324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0E4796-62C1-41E6-B717-BAA0060E4589}"/>
            </a:ext>
          </a:extLst>
        </xdr:cNvPr>
        <xdr:cNvCxnSpPr/>
      </xdr:nvCxnSpPr>
      <xdr:spPr>
        <a:xfrm flipV="1">
          <a:off x="0" y="5038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44446D-DF84-4C4C-B0FE-E8FA6704F8F3}"/>
            </a:ext>
          </a:extLst>
        </xdr:cNvPr>
        <xdr:cNvCxnSpPr/>
      </xdr:nvCxnSpPr>
      <xdr:spPr>
        <a:xfrm flipV="1">
          <a:off x="0" y="6543675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6028968-D4BE-49FB-BAA0-517DEEC073C6}"/>
            </a:ext>
          </a:extLst>
        </xdr:cNvPr>
        <xdr:cNvCxnSpPr/>
      </xdr:nvCxnSpPr>
      <xdr:spPr>
        <a:xfrm>
          <a:off x="0" y="5038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37AA2CD-1AF7-4662-9B8C-1732A9F069C2}"/>
            </a:ext>
          </a:extLst>
        </xdr:cNvPr>
        <xdr:cNvCxnSpPr/>
      </xdr:nvCxnSpPr>
      <xdr:spPr>
        <a:xfrm>
          <a:off x="0" y="8601075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2C3E2FE-B9DC-4A38-9C71-F69EA413BA59}"/>
            </a:ext>
          </a:extLst>
        </xdr:cNvPr>
        <xdr:cNvCxnSpPr/>
      </xdr:nvCxnSpPr>
      <xdr:spPr>
        <a:xfrm flipV="1">
          <a:off x="0" y="8963025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A44ED24-C011-4FD2-B6AB-3C1A73D63CB6}"/>
            </a:ext>
          </a:extLst>
        </xdr:cNvPr>
        <xdr:cNvCxnSpPr/>
      </xdr:nvCxnSpPr>
      <xdr:spPr>
        <a:xfrm>
          <a:off x="0" y="3324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1B3DFA9-73E1-4E1B-9346-FD5AA731B008}"/>
            </a:ext>
          </a:extLst>
        </xdr:cNvPr>
        <xdr:cNvCxnSpPr/>
      </xdr:nvCxnSpPr>
      <xdr:spPr>
        <a:xfrm>
          <a:off x="0" y="5038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B02C09D-EA2F-48E6-AB0B-EB22B014D10F}"/>
            </a:ext>
          </a:extLst>
        </xdr:cNvPr>
        <xdr:cNvCxnSpPr/>
      </xdr:nvCxnSpPr>
      <xdr:spPr>
        <a:xfrm flipV="1">
          <a:off x="0" y="8963025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85E6322-701C-43A4-B593-E0A5FD50B073}"/>
            </a:ext>
          </a:extLst>
        </xdr:cNvPr>
        <xdr:cNvCxnSpPr/>
      </xdr:nvCxnSpPr>
      <xdr:spPr>
        <a:xfrm>
          <a:off x="0" y="3324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CD16897-C4B4-4E8F-9CBB-4459789524A2}"/>
            </a:ext>
          </a:extLst>
        </xdr:cNvPr>
        <xdr:cNvCxnSpPr/>
      </xdr:nvCxnSpPr>
      <xdr:spPr>
        <a:xfrm flipV="1">
          <a:off x="0" y="5038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D505DDE-B0BE-4C55-9D83-53135D55BEDD}"/>
            </a:ext>
          </a:extLst>
        </xdr:cNvPr>
        <xdr:cNvCxnSpPr/>
      </xdr:nvCxnSpPr>
      <xdr:spPr>
        <a:xfrm>
          <a:off x="0" y="5038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85268D1-574A-4C81-8186-2B69488A882E}"/>
            </a:ext>
          </a:extLst>
        </xdr:cNvPr>
        <xdr:cNvCxnSpPr/>
      </xdr:nvCxnSpPr>
      <xdr:spPr>
        <a:xfrm flipV="1">
          <a:off x="0" y="8963025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5B7D607-A649-4016-9408-B4BA6DFC73FD}"/>
            </a:ext>
          </a:extLst>
        </xdr:cNvPr>
        <xdr:cNvCxnSpPr/>
      </xdr:nvCxnSpPr>
      <xdr:spPr>
        <a:xfrm>
          <a:off x="0" y="69246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8307BEB-45C9-4E61-A641-F592F134307B}"/>
            </a:ext>
          </a:extLst>
        </xdr:cNvPr>
        <xdr:cNvCxnSpPr/>
      </xdr:nvCxnSpPr>
      <xdr:spPr>
        <a:xfrm>
          <a:off x="0" y="69246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F865C2D-1853-4D5B-8016-2EE97FD54C5D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177949</xdr:rowOff>
    </xdr:from>
    <xdr:to>
      <xdr:col>0</xdr:col>
      <xdr:colOff>17930</xdr:colOff>
      <xdr:row>29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68EE092-3FA5-4CAE-A213-9ECBCA25E541}"/>
            </a:ext>
          </a:extLst>
        </xdr:cNvPr>
        <xdr:cNvCxnSpPr/>
      </xdr:nvCxnSpPr>
      <xdr:spPr>
        <a:xfrm>
          <a:off x="0" y="5788174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08E3379-E690-4038-AC13-A39E212C9A1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</xdr:row>
      <xdr:rowOff>185351</xdr:rowOff>
    </xdr:from>
    <xdr:to>
      <xdr:col>0</xdr:col>
      <xdr:colOff>3021</xdr:colOff>
      <xdr:row>44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E4D8343-D9B4-45E2-B088-9DF940D2A3F8}"/>
            </a:ext>
          </a:extLst>
        </xdr:cNvPr>
        <xdr:cNvCxnSpPr/>
      </xdr:nvCxnSpPr>
      <xdr:spPr>
        <a:xfrm>
          <a:off x="0" y="8414951"/>
          <a:ext cx="3021" cy="32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80683</xdr:colOff>
      <xdr:row>13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671AE1D-16DA-49E3-8326-0B3C8E668A7C}"/>
            </a:ext>
          </a:extLst>
        </xdr:cNvPr>
        <xdr:cNvCxnSpPr/>
      </xdr:nvCxnSpPr>
      <xdr:spPr>
        <a:xfrm>
          <a:off x="0" y="2581275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20594</xdr:rowOff>
    </xdr:from>
    <xdr:to>
      <xdr:col>0</xdr:col>
      <xdr:colOff>91343</xdr:colOff>
      <xdr:row>30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EE04FE0-495D-4DC4-8471-009D800DAFA1}"/>
            </a:ext>
          </a:extLst>
        </xdr:cNvPr>
        <xdr:cNvCxnSpPr/>
      </xdr:nvCxnSpPr>
      <xdr:spPr>
        <a:xfrm>
          <a:off x="0" y="5821319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170330</xdr:rowOff>
    </xdr:from>
    <xdr:to>
      <xdr:col>0</xdr:col>
      <xdr:colOff>17930</xdr:colOff>
      <xdr:row>34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C4BF6118-6119-43F3-965D-041ECE93A923}"/>
            </a:ext>
          </a:extLst>
        </xdr:cNvPr>
        <xdr:cNvCxnSpPr/>
      </xdr:nvCxnSpPr>
      <xdr:spPr>
        <a:xfrm>
          <a:off x="0" y="6533030"/>
          <a:ext cx="17930" cy="106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</xdr:rowOff>
    </xdr:from>
    <xdr:to>
      <xdr:col>0</xdr:col>
      <xdr:colOff>11205</xdr:colOff>
      <xdr:row>32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D320EA8-D15E-409E-9F96-5B9DEFDD1D01}"/>
            </a:ext>
          </a:extLst>
        </xdr:cNvPr>
        <xdr:cNvCxnSpPr/>
      </xdr:nvCxnSpPr>
      <xdr:spPr>
        <a:xfrm>
          <a:off x="0" y="617220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165B4903-492C-42CD-9136-59F84659B3B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80683</xdr:colOff>
      <xdr:row>13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8B0B8D1E-C5B0-4EA3-BDF0-0CCC1D8FD1B5}"/>
            </a:ext>
          </a:extLst>
        </xdr:cNvPr>
        <xdr:cNvCxnSpPr/>
      </xdr:nvCxnSpPr>
      <xdr:spPr>
        <a:xfrm>
          <a:off x="0" y="2581275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0</xdr:rowOff>
    </xdr:from>
    <xdr:to>
      <xdr:col>0</xdr:col>
      <xdr:colOff>8965</xdr:colOff>
      <xdr:row>29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668FAEF-CCE6-47F6-9B4A-54B79255FF1F}"/>
            </a:ext>
          </a:extLst>
        </xdr:cNvPr>
        <xdr:cNvCxnSpPr/>
      </xdr:nvCxnSpPr>
      <xdr:spPr>
        <a:xfrm>
          <a:off x="0" y="5610225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170330</xdr:rowOff>
    </xdr:from>
    <xdr:to>
      <xdr:col>0</xdr:col>
      <xdr:colOff>17930</xdr:colOff>
      <xdr:row>34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D5137ED-5D1E-4B9B-9BBC-F0280C90AA27}"/>
            </a:ext>
          </a:extLst>
        </xdr:cNvPr>
        <xdr:cNvCxnSpPr/>
      </xdr:nvCxnSpPr>
      <xdr:spPr>
        <a:xfrm>
          <a:off x="0" y="6533030"/>
          <a:ext cx="17930" cy="106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3A04B099-E90A-4A77-AD80-97A742091977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11151</xdr:colOff>
      <xdr:row>18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B35AADD5-FEB6-489B-80E3-E29D0427BCC7}"/>
            </a:ext>
          </a:extLst>
        </xdr:cNvPr>
        <xdr:cNvCxnSpPr/>
      </xdr:nvCxnSpPr>
      <xdr:spPr>
        <a:xfrm>
          <a:off x="0" y="3514725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D143B18-3770-4FE4-9D86-13224163B7E3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62B07D39-26A2-46D6-AC00-25F78A65116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19B460FA-C815-429D-8E15-B17B09AF97E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9162506-7300-410F-9464-D1C18840213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95EA824-58A7-4ECC-9E0C-3A8985F995D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47EEB94-12F8-4247-A4EF-9CDF1881B1C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D86A5148-F0A0-4265-A444-E9DBDD3A3A6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5E6D9394-F839-4698-A07A-C2E9C5AB893D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69BE8327-B294-4CFD-AD9C-99CE9164CE2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7C55B4A-108B-4C08-91E5-181D0DCEAA5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11151</xdr:colOff>
      <xdr:row>18</xdr:row>
      <xdr:rowOff>7434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293882A5-EF0B-4F0C-B840-0C05CDFB7EE2}"/>
            </a:ext>
          </a:extLst>
        </xdr:cNvPr>
        <xdr:cNvCxnSpPr/>
      </xdr:nvCxnSpPr>
      <xdr:spPr>
        <a:xfrm>
          <a:off x="0" y="3514725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3F25-E4FE-45FF-BEAC-4C7D3CF4C5F5}">
  <sheetPr>
    <pageSetUpPr fitToPage="1"/>
  </sheetPr>
  <dimension ref="A1:G48"/>
  <sheetViews>
    <sheetView tabSelected="1" view="pageLayout" topLeftCell="A5" zoomScale="119" zoomScaleNormal="100" zoomScalePageLayoutView="119" workbookViewId="0">
      <selection activeCell="F11" sqref="F11:G11"/>
    </sheetView>
  </sheetViews>
  <sheetFormatPr defaultRowHeight="15" x14ac:dyDescent="0.25"/>
  <cols>
    <col min="1" max="1" width="3.7109375" customWidth="1"/>
    <col min="2" max="2" width="29.28515625" customWidth="1"/>
    <col min="3" max="3" width="8.7109375" customWidth="1"/>
    <col min="4" max="4" width="7.5703125" customWidth="1"/>
    <col min="5" max="5" width="8.85546875" customWidth="1"/>
    <col min="6" max="6" width="13.5703125" customWidth="1"/>
    <col min="7" max="7" width="22.28515625" customWidth="1"/>
    <col min="8" max="8" width="11.42578125" bestFit="1" customWidth="1"/>
  </cols>
  <sheetData>
    <row r="1" spans="1:7" ht="24" x14ac:dyDescent="0.4">
      <c r="A1" s="1" t="s">
        <v>0</v>
      </c>
      <c r="B1" s="2"/>
      <c r="C1" s="2"/>
      <c r="D1" s="2"/>
      <c r="E1" s="2"/>
      <c r="F1" s="3"/>
      <c r="G1" s="4"/>
    </row>
    <row r="2" spans="1:7" x14ac:dyDescent="0.25">
      <c r="A2" s="5" t="s">
        <v>1</v>
      </c>
      <c r="B2" s="6"/>
      <c r="C2" s="6"/>
      <c r="D2" s="6"/>
      <c r="E2" s="7"/>
      <c r="F2" s="8"/>
      <c r="G2" s="9"/>
    </row>
    <row r="3" spans="1:7" x14ac:dyDescent="0.25">
      <c r="A3" s="5" t="s">
        <v>2</v>
      </c>
      <c r="B3" s="6"/>
      <c r="C3" s="6"/>
      <c r="D3" s="6"/>
      <c r="E3" s="7"/>
      <c r="F3" s="10" t="s">
        <v>3</v>
      </c>
      <c r="G3" s="11"/>
    </row>
    <row r="4" spans="1:7" x14ac:dyDescent="0.25">
      <c r="A4" s="10" t="s">
        <v>4</v>
      </c>
      <c r="B4" s="12"/>
      <c r="C4" s="12"/>
      <c r="D4" s="12"/>
      <c r="E4" s="12"/>
      <c r="F4" s="13" t="s">
        <v>5</v>
      </c>
      <c r="G4" s="14"/>
    </row>
    <row r="5" spans="1:7" x14ac:dyDescent="0.25">
      <c r="A5" s="10" t="s">
        <v>6</v>
      </c>
      <c r="B5" s="12"/>
      <c r="C5" s="12"/>
      <c r="D5" s="12"/>
      <c r="E5" s="12"/>
      <c r="F5" s="15"/>
      <c r="G5" s="16"/>
    </row>
    <row r="6" spans="1:7" x14ac:dyDescent="0.25">
      <c r="A6" s="15" t="s">
        <v>7</v>
      </c>
      <c r="B6" s="17"/>
      <c r="C6" s="17"/>
      <c r="D6" s="17"/>
      <c r="E6" s="17"/>
      <c r="F6" s="13"/>
      <c r="G6" s="14"/>
    </row>
    <row r="7" spans="1:7" x14ac:dyDescent="0.25">
      <c r="A7" s="18" t="s">
        <v>8</v>
      </c>
      <c r="B7" s="19"/>
      <c r="C7" s="19"/>
      <c r="D7" s="19"/>
      <c r="E7" s="19"/>
      <c r="F7" s="18" t="s">
        <v>9</v>
      </c>
      <c r="G7" s="20"/>
    </row>
    <row r="8" spans="1:7" x14ac:dyDescent="0.25">
      <c r="A8" s="21" t="s">
        <v>10</v>
      </c>
      <c r="B8" s="22"/>
      <c r="C8" s="22"/>
      <c r="D8" s="22"/>
      <c r="E8" s="22"/>
      <c r="F8" s="23"/>
      <c r="G8" s="24"/>
    </row>
    <row r="9" spans="1:7" x14ac:dyDescent="0.25">
      <c r="A9" s="25" t="s">
        <v>11</v>
      </c>
      <c r="B9" s="26"/>
      <c r="C9" s="26"/>
      <c r="D9" s="26"/>
      <c r="E9" s="26"/>
      <c r="F9" s="27"/>
      <c r="G9" s="28"/>
    </row>
    <row r="10" spans="1:7" x14ac:dyDescent="0.25">
      <c r="A10" s="29" t="s">
        <v>12</v>
      </c>
      <c r="B10" s="30"/>
      <c r="C10" s="30"/>
      <c r="D10" s="30"/>
      <c r="E10" s="30"/>
      <c r="F10" s="31" t="s">
        <v>13</v>
      </c>
      <c r="G10" s="32"/>
    </row>
    <row r="11" spans="1:7" x14ac:dyDescent="0.25">
      <c r="A11" s="33" t="s">
        <v>14</v>
      </c>
      <c r="B11" s="34"/>
      <c r="C11" s="34"/>
      <c r="D11" s="34"/>
      <c r="E11" s="34"/>
      <c r="F11" s="10" t="s">
        <v>15</v>
      </c>
      <c r="G11" s="11"/>
    </row>
    <row r="12" spans="1:7" x14ac:dyDescent="0.25">
      <c r="A12" s="27" t="s">
        <v>16</v>
      </c>
      <c r="B12" s="35"/>
      <c r="C12" s="35"/>
      <c r="D12" s="35"/>
      <c r="E12" s="35"/>
      <c r="F12" s="36" t="s">
        <v>17</v>
      </c>
      <c r="G12" s="37"/>
    </row>
    <row r="13" spans="1:7" x14ac:dyDescent="0.25">
      <c r="A13" s="38" t="s">
        <v>18</v>
      </c>
      <c r="B13" s="39"/>
      <c r="C13" s="39"/>
      <c r="D13" s="39"/>
      <c r="E13" s="39"/>
      <c r="F13" s="40"/>
      <c r="G13" s="41"/>
    </row>
    <row r="14" spans="1:7" ht="14.45" customHeight="1" x14ac:dyDescent="0.25">
      <c r="A14" s="42" t="s">
        <v>19</v>
      </c>
      <c r="B14" s="43"/>
      <c r="C14" s="43"/>
      <c r="D14" s="43"/>
      <c r="E14" s="43"/>
      <c r="F14" s="43"/>
      <c r="G14" s="44"/>
    </row>
    <row r="15" spans="1:7" x14ac:dyDescent="0.25">
      <c r="A15" s="45"/>
      <c r="B15" s="46"/>
      <c r="C15" s="46"/>
      <c r="D15" s="46"/>
      <c r="E15" s="46"/>
      <c r="F15" s="46"/>
      <c r="G15" s="47"/>
    </row>
    <row r="16" spans="1:7" ht="14.45" customHeight="1" x14ac:dyDescent="0.25">
      <c r="A16" s="48" t="s">
        <v>20</v>
      </c>
      <c r="B16" s="49" t="s">
        <v>21</v>
      </c>
      <c r="C16" s="49" t="s">
        <v>22</v>
      </c>
      <c r="D16" s="49" t="s">
        <v>23</v>
      </c>
      <c r="E16" s="48" t="s">
        <v>24</v>
      </c>
      <c r="F16" s="49" t="s">
        <v>25</v>
      </c>
      <c r="G16" s="50" t="s">
        <v>26</v>
      </c>
    </row>
    <row r="17" spans="1:7" x14ac:dyDescent="0.25">
      <c r="A17" s="51"/>
      <c r="B17" s="51"/>
      <c r="C17" s="51"/>
      <c r="D17" s="51"/>
      <c r="E17" s="52"/>
      <c r="F17" s="51"/>
      <c r="G17" s="53"/>
    </row>
    <row r="18" spans="1:7" x14ac:dyDescent="0.25">
      <c r="A18" s="54">
        <v>1</v>
      </c>
      <c r="B18" s="54" t="s">
        <v>27</v>
      </c>
      <c r="C18" s="55">
        <v>9985</v>
      </c>
      <c r="D18" s="56">
        <v>25000</v>
      </c>
      <c r="E18" s="57">
        <v>31</v>
      </c>
      <c r="F18" s="58">
        <v>2</v>
      </c>
      <c r="G18" s="59">
        <f>E18*(D18/30)</f>
        <v>25833.333333333336</v>
      </c>
    </row>
    <row r="19" spans="1:7" x14ac:dyDescent="0.25">
      <c r="A19" s="60">
        <v>2</v>
      </c>
      <c r="B19" s="60" t="s">
        <v>28</v>
      </c>
      <c r="C19" s="61"/>
      <c r="D19" s="62"/>
      <c r="E19" s="63">
        <v>0</v>
      </c>
      <c r="F19" s="64"/>
      <c r="G19" s="59">
        <f>E19*(D18/30/9)</f>
        <v>0</v>
      </c>
    </row>
    <row r="20" spans="1:7" x14ac:dyDescent="0.25">
      <c r="A20" s="8"/>
      <c r="B20" s="65"/>
      <c r="C20" s="8"/>
      <c r="D20" s="65"/>
      <c r="E20" s="8"/>
      <c r="F20" s="9"/>
      <c r="G20" s="9"/>
    </row>
    <row r="21" spans="1:7" x14ac:dyDescent="0.25">
      <c r="A21" s="13"/>
      <c r="B21" s="66"/>
      <c r="C21" s="13"/>
      <c r="D21" s="66"/>
      <c r="E21" s="13"/>
      <c r="F21" s="14"/>
      <c r="G21" s="14"/>
    </row>
    <row r="22" spans="1:7" x14ac:dyDescent="0.25">
      <c r="A22" s="67"/>
      <c r="B22" s="68"/>
      <c r="C22" s="69"/>
      <c r="D22" s="70"/>
      <c r="E22" s="71"/>
      <c r="G22" s="72"/>
    </row>
    <row r="23" spans="1:7" x14ac:dyDescent="0.25">
      <c r="A23" s="67"/>
      <c r="B23" s="68"/>
      <c r="C23" s="69"/>
      <c r="D23" s="70"/>
      <c r="E23" s="71"/>
      <c r="G23" s="72"/>
    </row>
    <row r="24" spans="1:7" x14ac:dyDescent="0.25">
      <c r="A24" s="67"/>
      <c r="B24" s="68"/>
      <c r="C24" s="69"/>
      <c r="D24" s="70"/>
      <c r="E24" s="71"/>
      <c r="G24" s="72"/>
    </row>
    <row r="25" spans="1:7" x14ac:dyDescent="0.25">
      <c r="A25" s="67"/>
      <c r="B25" s="68"/>
      <c r="C25" s="69"/>
      <c r="D25" s="70"/>
      <c r="E25" s="71"/>
      <c r="G25" s="72"/>
    </row>
    <row r="26" spans="1:7" x14ac:dyDescent="0.25">
      <c r="A26" s="67"/>
      <c r="B26" s="68"/>
      <c r="C26" s="69"/>
      <c r="D26" s="70"/>
      <c r="E26" s="71"/>
      <c r="G26" s="72"/>
    </row>
    <row r="27" spans="1:7" x14ac:dyDescent="0.25">
      <c r="A27" s="69"/>
      <c r="B27" s="68"/>
      <c r="C27" s="69"/>
      <c r="D27" s="66"/>
      <c r="E27" s="71"/>
      <c r="G27" s="72"/>
    </row>
    <row r="28" spans="1:7" x14ac:dyDescent="0.25">
      <c r="A28" s="66"/>
      <c r="B28" s="14"/>
      <c r="C28" s="66"/>
      <c r="D28" s="73" t="s">
        <v>29</v>
      </c>
      <c r="E28" s="74"/>
      <c r="F28" s="75"/>
      <c r="G28" s="59">
        <f>G17+G18</f>
        <v>25833.333333333336</v>
      </c>
    </row>
    <row r="29" spans="1:7" x14ac:dyDescent="0.25">
      <c r="A29" s="66"/>
      <c r="B29" s="66"/>
      <c r="C29" s="66"/>
      <c r="D29" s="76" t="s">
        <v>30</v>
      </c>
      <c r="E29" s="3"/>
      <c r="F29" s="4"/>
      <c r="G29" s="59">
        <v>0</v>
      </c>
    </row>
    <row r="30" spans="1:7" ht="15" customHeight="1" x14ac:dyDescent="0.25">
      <c r="A30" s="64"/>
      <c r="B30" s="64"/>
      <c r="C30" s="64"/>
      <c r="D30" s="12" t="s">
        <v>31</v>
      </c>
      <c r="E30" s="12"/>
      <c r="F30" s="12"/>
      <c r="G30" s="59">
        <v>0</v>
      </c>
    </row>
    <row r="31" spans="1:7" x14ac:dyDescent="0.25">
      <c r="A31" s="77" t="s">
        <v>32</v>
      </c>
      <c r="B31" s="78"/>
      <c r="C31" s="79"/>
      <c r="D31" s="80"/>
      <c r="E31" s="78"/>
      <c r="F31" s="79"/>
      <c r="G31" s="81" t="s">
        <v>33</v>
      </c>
    </row>
    <row r="32" spans="1:7" ht="14.65" customHeight="1" x14ac:dyDescent="0.25">
      <c r="A32" s="31" t="s">
        <v>34</v>
      </c>
      <c r="B32" s="82"/>
      <c r="C32" s="82"/>
      <c r="D32" s="83" t="s">
        <v>35</v>
      </c>
      <c r="E32" s="84"/>
      <c r="F32" s="85"/>
      <c r="G32" s="86">
        <f>G29+G30+G28</f>
        <v>25833.333333333336</v>
      </c>
    </row>
    <row r="33" spans="1:7" x14ac:dyDescent="0.25">
      <c r="A33" s="31" t="s">
        <v>36</v>
      </c>
      <c r="B33" s="82"/>
      <c r="C33" s="32"/>
      <c r="D33" s="87" t="s">
        <v>37</v>
      </c>
      <c r="E33" s="74"/>
      <c r="F33" s="75"/>
      <c r="G33" s="88">
        <f>G32*9%</f>
        <v>2325</v>
      </c>
    </row>
    <row r="34" spans="1:7" ht="14.65" customHeight="1" x14ac:dyDescent="0.25">
      <c r="A34" s="31" t="s">
        <v>38</v>
      </c>
      <c r="B34" s="82"/>
      <c r="C34" s="32"/>
      <c r="D34" s="89" t="s">
        <v>39</v>
      </c>
      <c r="E34" s="3"/>
      <c r="F34" s="4"/>
      <c r="G34" s="90">
        <f>G32*9%</f>
        <v>2325</v>
      </c>
    </row>
    <row r="35" spans="1:7" x14ac:dyDescent="0.25">
      <c r="A35" s="77" t="s">
        <v>40</v>
      </c>
      <c r="B35" s="91"/>
      <c r="C35" s="92"/>
      <c r="D35" s="77"/>
      <c r="E35" s="78"/>
      <c r="F35" s="79"/>
      <c r="G35" s="93"/>
    </row>
    <row r="36" spans="1:7" x14ac:dyDescent="0.25">
      <c r="A36" s="83"/>
      <c r="B36" s="84"/>
      <c r="C36" s="85"/>
      <c r="D36" s="83" t="s">
        <v>35</v>
      </c>
      <c r="E36" s="12"/>
      <c r="F36" s="11"/>
      <c r="G36" s="94">
        <f>SUM(G32:G34)</f>
        <v>30483.333333333336</v>
      </c>
    </row>
    <row r="37" spans="1:7" x14ac:dyDescent="0.25">
      <c r="A37" s="95" t="s">
        <v>41</v>
      </c>
      <c r="B37" s="96"/>
      <c r="C37" s="97"/>
      <c r="D37" s="84" t="s">
        <v>42</v>
      </c>
      <c r="E37" s="12"/>
      <c r="F37" s="11"/>
      <c r="G37" s="98">
        <v>0.33</v>
      </c>
    </row>
    <row r="38" spans="1:7" x14ac:dyDescent="0.25">
      <c r="A38" s="99"/>
      <c r="B38" s="100"/>
      <c r="C38" s="101"/>
      <c r="D38" s="83" t="s">
        <v>43</v>
      </c>
      <c r="E38" s="12"/>
      <c r="F38" s="11"/>
      <c r="G38" s="102">
        <f>G36-G37</f>
        <v>30483.003333333334</v>
      </c>
    </row>
    <row r="39" spans="1:7" ht="15" customHeight="1" x14ac:dyDescent="0.25">
      <c r="A39" s="42" t="s">
        <v>44</v>
      </c>
      <c r="B39" s="103"/>
      <c r="C39" s="104"/>
      <c r="D39" s="105" t="s">
        <v>45</v>
      </c>
      <c r="E39" s="106"/>
      <c r="F39" s="106"/>
      <c r="G39" s="107"/>
    </row>
    <row r="40" spans="1:7" x14ac:dyDescent="0.25">
      <c r="A40" s="108"/>
      <c r="B40" s="109"/>
      <c r="C40" s="110"/>
      <c r="D40" s="111"/>
      <c r="E40" s="112"/>
      <c r="F40" s="112"/>
      <c r="G40" s="113"/>
    </row>
    <row r="41" spans="1:7" ht="14.45" customHeight="1" x14ac:dyDescent="0.25">
      <c r="A41" s="108"/>
      <c r="B41" s="109"/>
      <c r="C41" s="110"/>
      <c r="D41" s="111"/>
      <c r="E41" s="112"/>
      <c r="F41" s="112"/>
      <c r="G41" s="113"/>
    </row>
    <row r="42" spans="1:7" ht="14.45" customHeight="1" x14ac:dyDescent="0.25">
      <c r="A42" s="108"/>
      <c r="B42" s="109"/>
      <c r="C42" s="110"/>
      <c r="D42" s="111"/>
      <c r="E42" s="112"/>
      <c r="F42" s="112"/>
      <c r="G42" s="113"/>
    </row>
    <row r="43" spans="1:7" ht="14.45" customHeight="1" x14ac:dyDescent="0.25">
      <c r="A43" s="108"/>
      <c r="B43" s="109"/>
      <c r="C43" s="110"/>
      <c r="D43" s="111"/>
      <c r="E43" s="112"/>
      <c r="F43" s="112"/>
      <c r="G43" s="113"/>
    </row>
    <row r="44" spans="1:7" ht="14.45" customHeight="1" x14ac:dyDescent="0.25">
      <c r="A44" s="114"/>
      <c r="B44" s="115"/>
      <c r="C44" s="116"/>
      <c r="D44" s="117"/>
      <c r="E44" s="118"/>
      <c r="F44" s="118"/>
      <c r="G44" s="119"/>
    </row>
    <row r="46" spans="1:7" ht="14.45" customHeight="1" x14ac:dyDescent="0.25"/>
    <row r="47" spans="1:7" ht="14.45" customHeight="1" x14ac:dyDescent="0.25"/>
    <row r="48" spans="1:7" ht="14.45" customHeight="1" x14ac:dyDescent="0.25"/>
  </sheetData>
  <mergeCells count="41">
    <mergeCell ref="A37:C37"/>
    <mergeCell ref="D37:F37"/>
    <mergeCell ref="A38:C38"/>
    <mergeCell ref="D38:F38"/>
    <mergeCell ref="A39:C44"/>
    <mergeCell ref="D39:G44"/>
    <mergeCell ref="A32:C32"/>
    <mergeCell ref="D32:F32"/>
    <mergeCell ref="A33:C33"/>
    <mergeCell ref="A34:C34"/>
    <mergeCell ref="D34:F34"/>
    <mergeCell ref="A35:C36"/>
    <mergeCell ref="D35:F35"/>
    <mergeCell ref="D36:F36"/>
    <mergeCell ref="C18:C19"/>
    <mergeCell ref="D18:D19"/>
    <mergeCell ref="D29:F29"/>
    <mergeCell ref="D30:F30"/>
    <mergeCell ref="A31:C31"/>
    <mergeCell ref="D31:F31"/>
    <mergeCell ref="F12:G12"/>
    <mergeCell ref="F13:G13"/>
    <mergeCell ref="A14:G15"/>
    <mergeCell ref="A16:A17"/>
    <mergeCell ref="B16:B17"/>
    <mergeCell ref="C16:C17"/>
    <mergeCell ref="D16:D17"/>
    <mergeCell ref="E16:E17"/>
    <mergeCell ref="F16:F17"/>
    <mergeCell ref="A5:E5"/>
    <mergeCell ref="A7:E7"/>
    <mergeCell ref="F7:G7"/>
    <mergeCell ref="A8:E8"/>
    <mergeCell ref="F10:G10"/>
    <mergeCell ref="F11:G11"/>
    <mergeCell ref="A1:E1"/>
    <mergeCell ref="F1:G1"/>
    <mergeCell ref="A2:E2"/>
    <mergeCell ref="A3:E3"/>
    <mergeCell ref="F3:G3"/>
    <mergeCell ref="A4:E4"/>
  </mergeCells>
  <pageMargins left="0.7" right="0.7" top="0.75" bottom="0.75" header="0.3" footer="0.3"/>
  <pageSetup paperSize="9" scale="93" fitToHeight="0" orientation="portrait" horizontalDpi="4294967293" r:id="rId1"/>
  <headerFooter>
    <oddHeader xml:space="preserve">&amp;CTAX INVOICE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Ajmera-Key-sept- 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maheshthakurharishankar@gmail.com</dc:creator>
  <cp:lastModifiedBy>maheshthakurharishankar@gmail.com</cp:lastModifiedBy>
  <dcterms:created xsi:type="dcterms:W3CDTF">2025-11-26T10:21:11Z</dcterms:created>
  <dcterms:modified xsi:type="dcterms:W3CDTF">2025-11-26T10:21:58Z</dcterms:modified>
</cp:coreProperties>
</file>