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<sst xmlns="http://schemas.openxmlformats.org/spreadsheetml/2006/main" count="71" uniqueCount="33">
  <si>
    <t xml:space="preserve">AMBE SERVICE</t>
  </si>
  <si>
    <t xml:space="preserve">ROASTER FOR THE MONTH OF DEC - 2025</t>
  </si>
  <si>
    <t xml:space="preserve">SR</t>
  </si>
  <si>
    <t xml:space="preserve">Biometric Code</t>
  </si>
  <si>
    <t xml:space="preserve">Employee Name</t>
  </si>
  <si>
    <t xml:space="preserve">Weekly Off</t>
  </si>
  <si>
    <t xml:space="preserve">X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</si>
  <si>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</si>
  <si>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</si>
  <si>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</si>
  <si>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</si>
  <si>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</si>
  <si>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</si>
  <si>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</si>
  <si>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TOTAL PRESENT DAYS</t>
  </si>
  <si>
    <t xml:space="preserve">WEEKLY OFF</t>
  </si>
  <si>
    <t xml:space="preserve">HD</t>
  </si>
  <si>
    <t xml:space="preserve">TOTAL DAYS</t>
  </si>
  <si>
    <t xml:space="preserve">PRESENT STRENGTH</t>
  </si>
  <si>
    <t xml:space="preserve">GOOD DAY</t>
  </si>
  <si>
    <t xml:space="preserve">TOTAL STRENGTH</t>
  </si>
  <si>
    <t xml:space="preserve">N/J</t>
  </si>
  <si>
    <t xml:space="preserve">NEW JOINING</t>
  </si>
  <si>
    <t xml:space="preserve">JANITORS</t>
  </si>
  <si>
    <t xml:space="preserve">W/O</t>
  </si>
  <si>
    <t xml:space="preserve">Monthly Approved Manpower</t>
  </si>
  <si>
    <t xml:space="preserve">DASERAH + DIWALI</t>
  </si>
  <si>
    <r>
      <rPr>
        <b val="true"/>
        <sz val="10"/>
        <color rgb="FFFF0000"/>
        <rFont val="Arial Black"/>
        <family val="2"/>
        <charset val="1"/>
      </rPr>
      <t xml:space="preserve">(Excess)</t>
    </r>
    <r>
      <rPr>
        <b val="true"/>
        <sz val="10"/>
        <color theme="1"/>
        <rFont val="Arial Black"/>
        <family val="2"/>
        <charset val="1"/>
      </rPr>
      <t xml:space="preserve">/Shortage Manpower</t>
    </r>
  </si>
  <si>
    <t xml:space="preserve">H/F</t>
  </si>
  <si>
    <t xml:space="preserve">IN BIOMETRIC MISSING</t>
  </si>
  <si>
    <t xml:space="preserve">Monthly %</t>
  </si>
  <si>
    <t xml:space="preserve">OUT BIOMETRIC MISSING</t>
  </si>
  <si>
    <t xml:space="preserve">IN &amp; OUT BIOMETRIC MISSING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</si>
</sst>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0.00"/>
    <numFmt numFmtId="167" formatCode="_ * #,##0.00_ ;_ * \-#,##0.00_ ;_ * \-??_ ;_ @_ 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DLaM Display"/>
      <family val="0"/>
      <charset val="1"/>
    </font>
    <font>
      <sz val="26"/>
      <color theme="1"/>
      <name val="ADLaM Display"/>
      <family val="0"/>
      <charset val="1"/>
    </font>
    <font>
      <sz val="18"/>
      <color theme="1"/>
      <name val="ADLaM Display"/>
      <family val="0"/>
      <charset val="1"/>
    </font>
    <font>
      <b val="true"/>
      <sz val="11"/>
      <color theme="1"/>
      <name val="ADLaM Display"/>
      <family val="0"/>
      <charset val="1"/>
    </font>
    <font>
      <b val="true"/>
      <sz val="12"/>
      <color theme="1"/>
      <name val="ADLaM Display"/>
      <family val="0"/>
      <charset val="1"/>
    </font>
    <font>
      <sz val="10"/>
      <color rgb="FF000000"/>
      <name val="ADLaM Display"/>
      <family val="0"/>
      <charset val="1"/>
    </font>
    <font>
      <sz val="12"/>
      <color theme="1"/>
      <name val="ADLaM Display"/>
      <family val="0"/>
      <charset val="1"/>
    </font>
    <font>
      <sz val="10"/>
      <name val="Leelawadee"/>
      <family val="2"/>
      <charset val="1"/>
    </font>
    <font>
      <b val="true"/>
      <sz val="10"/>
      <color rgb="FF000000"/>
      <name val="Arial Black"/>
      <family val="2"/>
      <charset val="1"/>
    </font>
    <font>
      <b val="true"/>
      <sz val="10"/>
      <name val="Arial Black"/>
      <family val="2"/>
      <charset val="1"/>
    </font>
    <font>
      <sz val="10"/>
      <name val="Arial Black"/>
      <family val="2"/>
      <charset val="1"/>
    </font>
    <font>
      <b val="true"/>
      <sz val="10"/>
      <color theme="1"/>
      <name val="Arial Black"/>
      <family val="2"/>
      <charset val="1"/>
    </font>
    <font>
      <b val="true"/>
      <sz val="1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0000"/>
      <name val="Arial Black"/>
      <family val="2"/>
      <charset val="1"/>
    </font>
    <font>
      <b val="true"/>
      <sz val="10"/>
      <color rgb="FF00B050"/>
      <name val="Arial Black"/>
      <family val="2"/>
      <charset val="1"/>
    </font>
    <font>
      <b val="true"/>
      <sz val="15"/>
      <color theme="1"/>
      <name val="Arial Black"/>
      <family val="2"/>
      <charset val="1"/>
    </font>
    <font>
      <b val="true"/>
      <sz val="10"/>
      <name val="Leelawadee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E0E0E0"/>
        <bgColor rgb="FFD6DCE5"/>
      </patternFill>
    </fill>
    <fill>
      <patternFill patternType="solid">
        <fgColor theme="3" tint="0.7999"/>
        <bgColor rgb="FFE0E0E0"/>
      </patternFill>
    </fill>
    <fill>
      <patternFill patternType="solid">
        <fgColor rgb="FF556947"/>
        <bgColor rgb="FF505050"/>
      </patternFill>
    </fill>
    <fill>
      <patternFill patternType="solid">
        <fgColor rgb="FF808080"/>
        <bgColor rgb="FF969696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>
        <color rgb="FF505050"/>
      </right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>
        <color rgb="FF505050"/>
      </left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/>
      <bottom style="thin">
        <color rgb="FF505050"/>
      </bottom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>
        <color rgb="FF505050"/>
      </top>
      <bottom style="thin">
        <color rgb="FF50505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>
        <color rgb="FF505050"/>
      </top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4" fillId="0" borderId="9" xfId="1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4" fillId="0" borderId="10" xfId="1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4" fillId="0" borderId="11" xfId="1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9" fillId="0" borderId="13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4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0" borderId="2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6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2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3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2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27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5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31" xfId="15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6" fontId="1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2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3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2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4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i val="0"/>
        <color rgb="FFFFFFFF"/>
      </font>
      <fill>
        <patternFill>
          <bgColor rgb="FF00B0F0"/>
        </patternFill>
      </fill>
    </dxf>
    <dxf>
      <font>
        <b val="1"/>
        <i val="0"/>
        <color rgb="FFFF0000"/>
      </font>
    </dxf>
    <dxf>
      <font>
        <b val="1"/>
        <i val="0"/>
        <color rgb="FF0000FF"/>
      </font>
      <fill>
        <patternFill>
          <bgColor theme="0" tint="-0.25"/>
        </patternFill>
      </fill>
    </dxf>
    <dxf>
      <font>
        <b val="1"/>
        <i val="0"/>
        <color rgb="FFFFFFFF"/>
      </font>
      <fill>
        <patternFill>
          <bgColor rgb="FF00B0F0"/>
        </patternFill>
      </fill>
    </dxf>
    <dxf>
      <font>
        <b val="1"/>
        <i val="0"/>
        <color rgb="FFFF0000"/>
      </font>
    </dxf>
    <dxf>
      <font>
        <b val="1"/>
        <i val="0"/>
        <color rgb="FF0033CC"/>
      </font>
      <fill>
        <patternFill>
          <bgColor rgb="FF92D050"/>
        </patternFill>
      </fill>
    </dxf>
    <dxf>
      <font>
        <b val="1"/>
        <i val="0"/>
        <color rgb="FF0000FF"/>
      </font>
      <fill>
        <patternFill>
          <bgColor theme="9" tint="0.5999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0E0E0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556947"/>
      <rgbColor rgb="FF969696"/>
      <rgbColor rgb="FF003366"/>
      <rgbColor rgb="FF00B050"/>
      <rgbColor rgb="FF003300"/>
      <rgbColor rgb="FF333300"/>
      <rgbColor rgb="FF993300"/>
      <rgbColor rgb="FF993366"/>
      <rgbColor rgb="FF0033CC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O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9.1484375" defaultRowHeight="24.7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2" width="5.71"/>
    <col collapsed="false" customWidth="true" hidden="false" outlineLevel="0" max="3" min="3" style="1" width="7.71"/>
    <col collapsed="false" customWidth="true" hidden="false" outlineLevel="0" max="4" min="4" style="1" width="19"/>
    <col collapsed="false" customWidth="true" hidden="false" outlineLevel="0" max="5" min="5" style="1" width="12.71"/>
    <col collapsed="false" customWidth="true" hidden="false" outlineLevel="0" max="36" min="6" style="2" width="6"/>
    <col collapsed="false" customWidth="true" hidden="false" outlineLevel="0" max="37" min="37" style="3" width="7.42"/>
    <col collapsed="false" customWidth="true" hidden="false" outlineLevel="0" max="40" min="38" style="3" width="8.29"/>
    <col collapsed="false" customWidth="true" hidden="false" outlineLevel="0" max="41" min="41" style="1" width="3.86"/>
  </cols>
  <sheetData>
    <row r="2" customFormat="false" ht="46.5" hidden="false" customHeight="true" outlineLevel="0" collapsed="false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customFormat="false" ht="46.5" hidden="false" customHeight="true" outlineLevel="0" collapsed="false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customFormat="false" ht="24.75" hidden="false" customHeight="true" outlineLevel="0" collapsed="false">
      <c r="B4" s="6" t="s">
        <v>2</v>
      </c>
      <c r="C4" s="7" t="s">
        <v>3</v>
      </c>
      <c r="D4" s="8" t="s">
        <v>4</v>
      </c>
      <c r="E4" s="7" t="s">
        <v>5</v>
      </c>
      <c r="F4" s="9" t="n">
        <v>1</v>
      </c>
      <c r="G4" s="9" t="n">
        <v>2</v>
      </c>
      <c r="H4" s="9" t="n">
        <v>3</v>
      </c>
      <c r="I4" s="9" t="n">
        <v>4</v>
      </c>
      <c r="J4" s="9" t="n">
        <v>5</v>
      </c>
      <c r="K4" s="9" t="n">
        <v>6</v>
      </c>
      <c r="L4" s="9" t="n">
        <v>7</v>
      </c>
      <c r="M4" s="9" t="n">
        <v>8</v>
      </c>
      <c r="N4" s="9" t="n">
        <v>9</v>
      </c>
      <c r="O4" s="9" t="n">
        <v>10</v>
      </c>
      <c r="P4" s="9" t="n">
        <v>11</v>
      </c>
      <c r="Q4" s="9" t="n">
        <v>12</v>
      </c>
      <c r="R4" s="9" t="n">
        <v>13</v>
      </c>
      <c r="S4" s="9" t="n">
        <v>14</v>
      </c>
      <c r="T4" s="9" t="n">
        <v>15</v>
      </c>
      <c r="U4" s="9" t="n">
        <v>16</v>
      </c>
      <c r="V4" s="9" t="n">
        <v>17</v>
      </c>
      <c r="W4" s="9" t="n">
        <v>18</v>
      </c>
      <c r="X4" s="9" t="n">
        <v>19</v>
      </c>
      <c r="Y4" s="9" t="n">
        <v>20</v>
      </c>
      <c r="Z4" s="9" t="n">
        <v>21</v>
      </c>
      <c r="AA4" s="9" t="n">
        <v>22</v>
      </c>
      <c r="AB4" s="9" t="n">
        <v>23</v>
      </c>
      <c r="AC4" s="9" t="n">
        <v>24</v>
      </c>
      <c r="AD4" s="9" t="n">
        <v>25</v>
      </c>
      <c r="AE4" s="9" t="n">
        <v>26</v>
      </c>
      <c r="AF4" s="9" t="n">
        <v>27</v>
      </c>
      <c r="AG4" s="9" t="n">
        <v>28</v>
      </c>
      <c r="AH4" s="9" t="n">
        <v>29</v>
      </c>
      <c r="AI4" s="9" t="n">
        <v>30</v>
      </c>
      <c r="AJ4" s="9" t="s">
        <v>6</v>
      </c>
      <c r="AK4" s="10"/>
      <c r="AL4" s="10"/>
      <c r="AM4" s="11"/>
      <c r="AN4" s="12"/>
    </row>
    <row r="5" customFormat="false" ht="82.5" hidden="false" customHeight="true" outlineLevel="0" collapsed="false">
      <c r="B5" s="6"/>
      <c r="C5" s="7"/>
      <c r="D5" s="8"/>
      <c r="E5" s="7"/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7</v>
      </c>
      <c r="N5" s="13" t="s">
        <v>8</v>
      </c>
      <c r="O5" s="13" t="s">
        <v>9</v>
      </c>
      <c r="P5" s="13" t="s">
        <v>10</v>
      </c>
      <c r="Q5" s="13" t="s">
        <v>11</v>
      </c>
      <c r="R5" s="13" t="s">
        <v>12</v>
      </c>
      <c r="S5" s="13" t="s">
        <v>13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  <c r="Z5" s="13" t="s">
        <v>13</v>
      </c>
      <c r="AA5" s="13" t="s">
        <v>7</v>
      </c>
      <c r="AB5" s="13" t="s">
        <v>8</v>
      </c>
      <c r="AC5" s="13" t="s">
        <v>9</v>
      </c>
      <c r="AD5" s="13" t="s">
        <v>10</v>
      </c>
      <c r="AE5" s="13" t="s">
        <v>11</v>
      </c>
      <c r="AF5" s="13" t="s">
        <v>12</v>
      </c>
      <c r="AG5" s="13" t="s">
        <v>13</v>
      </c>
      <c r="AH5" s="13" t="s">
        <v>7</v>
      </c>
      <c r="AI5" s="13" t="s">
        <v>8</v>
      </c>
      <c r="AJ5" s="13" t="s">
        <v>6</v>
      </c>
      <c r="AK5" s="14" t="s">
        <v>14</v>
      </c>
      <c r="AL5" s="15" t="s">
        <v>15</v>
      </c>
      <c r="AM5" s="16" t="s">
        <v>16</v>
      </c>
      <c r="AN5" s="17" t="s">
        <v>17</v>
      </c>
    </row>
    <row r="6" customFormat="false" ht="24.75" hidden="false" customHeight="true" outlineLevel="0" collapsed="false">
      <c r="B6" s="18"/>
      <c r="C6" s="19"/>
      <c r="D6" s="20"/>
      <c r="E6" s="21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 t="s">
        <v>6</v>
      </c>
      <c r="AK6" s="10" t="n">
        <f aca="false">COUNTIF(F6:AJ6,"P")</f>
        <v>0</v>
      </c>
      <c r="AL6" s="10" t="n">
        <f aca="false">COUNTIF(F6:AJ6,"W/O")</f>
        <v>0</v>
      </c>
      <c r="AM6" s="22" t="n">
        <f aca="false">COUNTIF(G6:AK6,"HD+P")</f>
        <v>0</v>
      </c>
      <c r="AN6" s="23" t="n">
        <f aca="false">SUM(AK6:AM7)</f>
        <v>0</v>
      </c>
    </row>
    <row r="7" customFormat="false" ht="24.75" hidden="false" customHeight="true" outlineLevel="0" collapsed="false">
      <c r="B7" s="18"/>
      <c r="C7" s="19"/>
      <c r="D7" s="20"/>
      <c r="E7" s="21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 t="s">
        <v>6</v>
      </c>
      <c r="AK7" s="25" t="n">
        <f aca="false">COUNTIF(F7:AJ7,"P")</f>
        <v>0</v>
      </c>
      <c r="AL7" s="25" t="n">
        <f aca="false">COUNTIF(F7:AJ7,"W/O")</f>
        <v>0</v>
      </c>
      <c r="AM7" s="25" t="n">
        <f aca="false">COUNTIF(G7:AK7,"HD")</f>
        <v>0</v>
      </c>
      <c r="AN7" s="23"/>
    </row>
    <row r="8" customFormat="false" ht="24.75" hidden="false" customHeight="true" outlineLevel="0" collapsed="false">
      <c r="B8" s="26"/>
      <c r="C8" s="27"/>
      <c r="D8" s="28"/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 t="s">
        <v>6</v>
      </c>
      <c r="AK8" s="31" t="n">
        <f aca="false">COUNTIF(F8:AJ8,"P")</f>
        <v>0</v>
      </c>
      <c r="AL8" s="31" t="n">
        <f aca="false">COUNTIF(F8:AJ8,"W/O")</f>
        <v>0</v>
      </c>
      <c r="AM8" s="31" t="n">
        <f aca="false">COUNTIF(G8:AK8,"HD")</f>
        <v>0</v>
      </c>
      <c r="AN8" s="32" t="n">
        <f aca="false">SUM(AK8:AM9)</f>
        <v>0</v>
      </c>
    </row>
    <row r="9" customFormat="false" ht="24.75" hidden="false" customHeight="true" outlineLevel="0" collapsed="false">
      <c r="B9" s="26"/>
      <c r="C9" s="27"/>
      <c r="D9" s="28"/>
      <c r="E9" s="29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 t="s">
        <v>6</v>
      </c>
      <c r="AK9" s="34" t="n">
        <f aca="false">COUNTIF(F9:AJ9,"P")</f>
        <v>0</v>
      </c>
      <c r="AL9" s="34" t="n">
        <f aca="false">COUNTIF(F9:AJ9,"W/O")</f>
        <v>0</v>
      </c>
      <c r="AM9" s="34" t="n">
        <f aca="false">COUNTIF(G9:AK9,"HD")</f>
        <v>0</v>
      </c>
      <c r="AN9" s="32"/>
    </row>
    <row r="10" customFormat="false" ht="24.75" hidden="false" customHeight="true" outlineLevel="0" collapsed="false">
      <c r="B10" s="18"/>
      <c r="C10" s="19"/>
      <c r="D10" s="20"/>
      <c r="E10" s="2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 t="s">
        <v>6</v>
      </c>
      <c r="AK10" s="10" t="n">
        <f aca="false">COUNTIF(F10:AJ10,"P")</f>
        <v>0</v>
      </c>
      <c r="AL10" s="10" t="n">
        <f aca="false">COUNTIF(F10:AJ10,"W/O")</f>
        <v>0</v>
      </c>
      <c r="AM10" s="10" t="n">
        <f aca="false">COUNTIF(G10:AK10,"HD")</f>
        <v>0</v>
      </c>
      <c r="AN10" s="23" t="n">
        <f aca="false">SUM(AK10:AM11)</f>
        <v>0</v>
      </c>
    </row>
    <row r="11" customFormat="false" ht="24.75" hidden="false" customHeight="true" outlineLevel="0" collapsed="false">
      <c r="B11" s="18"/>
      <c r="C11" s="19"/>
      <c r="D11" s="20"/>
      <c r="E11" s="21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 t="s">
        <v>6</v>
      </c>
      <c r="AK11" s="25" t="n">
        <f aca="false">COUNTIF(F11:AJ11,"P")</f>
        <v>0</v>
      </c>
      <c r="AL11" s="25" t="n">
        <f aca="false">COUNTIF(F11:AJ11,"W/O")</f>
        <v>0</v>
      </c>
      <c r="AM11" s="25" t="n">
        <f aca="false">COUNTIF(G11:AK11,"HD")</f>
        <v>0</v>
      </c>
      <c r="AN11" s="23"/>
    </row>
    <row r="12" customFormat="false" ht="24.75" hidden="false" customHeight="true" outlineLevel="0" collapsed="false">
      <c r="B12" s="26"/>
      <c r="C12" s="27"/>
      <c r="D12" s="28"/>
      <c r="E12" s="2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 t="s">
        <v>6</v>
      </c>
      <c r="AK12" s="31" t="n">
        <f aca="false">COUNTIF(F12:AJ12,"P")</f>
        <v>0</v>
      </c>
      <c r="AL12" s="31" t="n">
        <f aca="false">COUNTIF(F12:AJ12,"W/O")</f>
        <v>0</v>
      </c>
      <c r="AM12" s="31" t="n">
        <f aca="false">COUNTIF(G12:AK12,"HD")</f>
        <v>0</v>
      </c>
      <c r="AN12" s="32" t="n">
        <f aca="false">SUM(AK12:AM13)</f>
        <v>0</v>
      </c>
    </row>
    <row r="13" customFormat="false" ht="24.75" hidden="false" customHeight="true" outlineLevel="0" collapsed="false">
      <c r="B13" s="26"/>
      <c r="C13" s="27"/>
      <c r="D13" s="28"/>
      <c r="E13" s="29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 t="s">
        <v>6</v>
      </c>
      <c r="AK13" s="34" t="n">
        <f aca="false">COUNTIF(F13:AJ13,"P")</f>
        <v>0</v>
      </c>
      <c r="AL13" s="34" t="n">
        <f aca="false">COUNTIF(F13:AJ13,"W/O")</f>
        <v>0</v>
      </c>
      <c r="AM13" s="34" t="n">
        <f aca="false">COUNTIF(G13:AK13,"HD")</f>
        <v>0</v>
      </c>
      <c r="AN13" s="32"/>
    </row>
    <row r="14" customFormat="false" ht="24.75" hidden="false" customHeight="true" outlineLevel="0" collapsed="false">
      <c r="B14" s="18"/>
      <c r="C14" s="19"/>
      <c r="D14" s="20"/>
      <c r="E14" s="2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 t="s">
        <v>6</v>
      </c>
      <c r="AK14" s="10" t="n">
        <f aca="false">COUNTIF(F14:AJ14,"P")</f>
        <v>0</v>
      </c>
      <c r="AL14" s="10" t="n">
        <f aca="false">COUNTIF(F14:AJ14,"W/O")</f>
        <v>0</v>
      </c>
      <c r="AM14" s="10" t="n">
        <f aca="false">COUNTIF(G14:AK14,"HD")</f>
        <v>0</v>
      </c>
      <c r="AN14" s="23" t="n">
        <f aca="false">SUM(AK14:AM15)</f>
        <v>0</v>
      </c>
    </row>
    <row r="15" customFormat="false" ht="24.75" hidden="false" customHeight="true" outlineLevel="0" collapsed="false">
      <c r="B15" s="18"/>
      <c r="C15" s="19"/>
      <c r="D15" s="20"/>
      <c r="E15" s="21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 t="s">
        <v>6</v>
      </c>
      <c r="AK15" s="25" t="n">
        <f aca="false">COUNTIF(F15:AJ15,"P")</f>
        <v>0</v>
      </c>
      <c r="AL15" s="25" t="n">
        <f aca="false">COUNTIF(F15:AJ15,"W/O")</f>
        <v>0</v>
      </c>
      <c r="AM15" s="25" t="n">
        <f aca="false">COUNTIF(G15:AK15,"HD")</f>
        <v>0</v>
      </c>
      <c r="AN15" s="23"/>
    </row>
    <row r="16" customFormat="false" ht="24.75" hidden="false" customHeight="true" outlineLevel="0" collapsed="false">
      <c r="A16" s="2"/>
      <c r="B16" s="36" t="s">
        <v>15</v>
      </c>
      <c r="C16" s="36"/>
      <c r="D16" s="36"/>
      <c r="E16" s="36"/>
      <c r="F16" s="30" t="n">
        <f aca="false">COUNTIF(F6:F15,"W/O")</f>
        <v>0</v>
      </c>
      <c r="G16" s="30" t="n">
        <f aca="false">COUNTIF(G6:G15,"W/O")</f>
        <v>0</v>
      </c>
      <c r="H16" s="30" t="n">
        <f aca="false">COUNTIF(H6:H15,"W/O")</f>
        <v>0</v>
      </c>
      <c r="I16" s="30" t="n">
        <f aca="false">COUNTIF(I6:I15,"W/O")</f>
        <v>0</v>
      </c>
      <c r="J16" s="30" t="n">
        <f aca="false">COUNTIF(J6:J15,"W/O")</f>
        <v>0</v>
      </c>
      <c r="K16" s="30" t="n">
        <f aca="false">COUNTIF(K6:K15,"W/O")</f>
        <v>0</v>
      </c>
      <c r="L16" s="30" t="n">
        <f aca="false">COUNTIF(L6:L15,"W/O")</f>
        <v>0</v>
      </c>
      <c r="M16" s="30" t="n">
        <f aca="false">COUNTIF(M6:M15,"W/O")</f>
        <v>0</v>
      </c>
      <c r="N16" s="30" t="n">
        <f aca="false">COUNTIF(N6:N15,"W/O")</f>
        <v>0</v>
      </c>
      <c r="O16" s="30" t="n">
        <f aca="false">COUNTIF(O6:O15,"W/O")</f>
        <v>0</v>
      </c>
      <c r="P16" s="30" t="n">
        <f aca="false">COUNTIF(P6:P15,"W/O")</f>
        <v>0</v>
      </c>
      <c r="Q16" s="30" t="n">
        <f aca="false">COUNTIF(Q6:Q15,"W/O")</f>
        <v>0</v>
      </c>
      <c r="R16" s="30" t="n">
        <f aca="false">COUNTIF(R6:R15,"W/O")</f>
        <v>0</v>
      </c>
      <c r="S16" s="30" t="n">
        <f aca="false">COUNTIF(S6:S15,"W/O")</f>
        <v>0</v>
      </c>
      <c r="T16" s="30" t="n">
        <f aca="false">COUNTIF(T6:T15,"W/O")</f>
        <v>0</v>
      </c>
      <c r="U16" s="30" t="n">
        <f aca="false">COUNTIF(U6:U15,"W/O")</f>
        <v>0</v>
      </c>
      <c r="V16" s="30" t="n">
        <f aca="false">COUNTIF(V6:V15,"W/O")</f>
        <v>0</v>
      </c>
      <c r="W16" s="30" t="n">
        <f aca="false">COUNTIF(W6:W15,"W/O")</f>
        <v>0</v>
      </c>
      <c r="X16" s="30" t="n">
        <f aca="false">COUNTIF(X6:X15,"W/O")</f>
        <v>0</v>
      </c>
      <c r="Y16" s="30" t="n">
        <f aca="false">COUNTIF(Y6:Y15,"W/O")</f>
        <v>0</v>
      </c>
      <c r="Z16" s="30" t="n">
        <f aca="false">COUNTIF(Z6:Z15,"W/O")</f>
        <v>0</v>
      </c>
      <c r="AA16" s="30" t="n">
        <f aca="false">COUNTIF(AA6:AA15,"W/O")</f>
        <v>0</v>
      </c>
      <c r="AB16" s="30" t="n">
        <f aca="false">COUNTIF(AB6:AB15,"W/O")</f>
        <v>0</v>
      </c>
      <c r="AC16" s="30" t="n">
        <f aca="false">COUNTIF(AC6:AC15,"W/O")</f>
        <v>0</v>
      </c>
      <c r="AD16" s="30" t="n">
        <f aca="false">COUNTIF(AD6:AD15,"W/O")</f>
        <v>0</v>
      </c>
      <c r="AE16" s="30" t="n">
        <f aca="false">COUNTIF(AE6:AE15,"W/O")</f>
        <v>0</v>
      </c>
      <c r="AF16" s="30" t="n">
        <f aca="false">COUNTIF(AF6:AF15,"W/O")</f>
        <v>0</v>
      </c>
      <c r="AG16" s="30" t="n">
        <f aca="false">COUNTIF(AG6:AG15,"W/O")</f>
        <v>0</v>
      </c>
      <c r="AH16" s="30" t="n">
        <f aca="false">COUNTIF(AH6:AH15,"W/O")</f>
        <v>0</v>
      </c>
      <c r="AI16" s="30" t="n">
        <f aca="false">COUNTIF(AI6:AI15,"W/O")</f>
        <v>0</v>
      </c>
      <c r="AJ16" s="30" t="n">
        <f aca="false">COUNTIF(AJ6:AJ15,"W/O")</f>
        <v>0</v>
      </c>
      <c r="AK16" s="37" t="n">
        <f aca="false">SUM(AK6:AK15)</f>
        <v>0</v>
      </c>
      <c r="AL16" s="37" t="n">
        <f aca="false">SUM(AL6:AL15)</f>
        <v>0</v>
      </c>
      <c r="AM16" s="31" t="n">
        <f aca="false">COUNTIF(G16:AK16,"HD")</f>
        <v>0</v>
      </c>
      <c r="AN16" s="38" t="n">
        <f aca="false">SUM(AN6:AN15)</f>
        <v>0</v>
      </c>
      <c r="AO16" s="2"/>
    </row>
    <row r="17" customFormat="false" ht="24.75" hidden="false" customHeight="true" outlineLevel="0" collapsed="false">
      <c r="A17" s="2"/>
      <c r="B17" s="39" t="s">
        <v>18</v>
      </c>
      <c r="C17" s="39"/>
      <c r="D17" s="39"/>
      <c r="E17" s="39"/>
      <c r="F17" s="40" t="n">
        <f aca="false">COUNTIF(F6:F15,"P")</f>
        <v>0</v>
      </c>
      <c r="G17" s="40" t="n">
        <f aca="false">COUNTIF(G6:G15,"P")</f>
        <v>0</v>
      </c>
      <c r="H17" s="40" t="n">
        <f aca="false">COUNTIF(H6:H15,"P")</f>
        <v>0</v>
      </c>
      <c r="I17" s="40" t="n">
        <f aca="false">COUNTIF(I6:I15,"P")</f>
        <v>0</v>
      </c>
      <c r="J17" s="40" t="n">
        <f aca="false">COUNTIF(J6:J15,"P")</f>
        <v>0</v>
      </c>
      <c r="K17" s="40" t="n">
        <f aca="false">COUNTIF(K6:K15,"P")</f>
        <v>0</v>
      </c>
      <c r="L17" s="40" t="n">
        <f aca="false">COUNTIF(L6:L15,"P")</f>
        <v>0</v>
      </c>
      <c r="M17" s="40" t="n">
        <f aca="false">COUNTIF(M6:M15,"P")</f>
        <v>0</v>
      </c>
      <c r="N17" s="40" t="n">
        <f aca="false">COUNTIF(N6:N15,"P")</f>
        <v>0</v>
      </c>
      <c r="O17" s="40" t="n">
        <f aca="false">COUNTIF(O6:O15,"P")</f>
        <v>0</v>
      </c>
      <c r="P17" s="40" t="n">
        <f aca="false">COUNTIF(P6:P15,"P")</f>
        <v>0</v>
      </c>
      <c r="Q17" s="40" t="n">
        <f aca="false">COUNTIF(Q6:Q15,"P")</f>
        <v>0</v>
      </c>
      <c r="R17" s="40" t="n">
        <f aca="false">COUNTIF(R6:R15,"P")</f>
        <v>0</v>
      </c>
      <c r="S17" s="40" t="n">
        <f aca="false">COUNTIF(S6:S15,"P")</f>
        <v>0</v>
      </c>
      <c r="T17" s="40" t="n">
        <f aca="false">COUNTIF(T6:T15,"P")</f>
        <v>0</v>
      </c>
      <c r="U17" s="40" t="n">
        <f aca="false">COUNTIF(U6:U15,"P")</f>
        <v>0</v>
      </c>
      <c r="V17" s="40" t="n">
        <f aca="false">COUNTIF(V6:V15,"P")</f>
        <v>0</v>
      </c>
      <c r="W17" s="40" t="n">
        <f aca="false">COUNTIF(W6:W15,"P")</f>
        <v>0</v>
      </c>
      <c r="X17" s="40" t="n">
        <f aca="false">COUNTIF(X6:X15,"P")</f>
        <v>0</v>
      </c>
      <c r="Y17" s="40" t="n">
        <f aca="false">COUNTIF(Y6:Y15,"P")</f>
        <v>0</v>
      </c>
      <c r="Z17" s="40" t="n">
        <f aca="false">COUNTIF(Z6:Z15,"P")</f>
        <v>0</v>
      </c>
      <c r="AA17" s="40" t="n">
        <f aca="false">COUNTIF(AA6:AA15,"P")</f>
        <v>0</v>
      </c>
      <c r="AB17" s="40" t="n">
        <f aca="false">COUNTIF(AB6:AB15,"P")</f>
        <v>0</v>
      </c>
      <c r="AC17" s="40" t="n">
        <f aca="false">COUNTIF(AC6:AC15,"P")</f>
        <v>0</v>
      </c>
      <c r="AD17" s="40" t="n">
        <f aca="false">COUNTIF(AD6:AD15,"P")</f>
        <v>0</v>
      </c>
      <c r="AE17" s="40" t="n">
        <f aca="false">COUNTIF(AE6:AE15,"P")</f>
        <v>0</v>
      </c>
      <c r="AF17" s="40" t="n">
        <f aca="false">COUNTIF(AF6:AF15,"P")</f>
        <v>0</v>
      </c>
      <c r="AG17" s="40" t="n">
        <f aca="false">COUNTIF(AG6:AG15,"P")</f>
        <v>0</v>
      </c>
      <c r="AH17" s="40" t="n">
        <f aca="false">COUNTIF(AH6:AH15,"P")</f>
        <v>0</v>
      </c>
      <c r="AI17" s="40" t="n">
        <f aca="false">COUNTIF(AI6:AI15,"P")</f>
        <v>0</v>
      </c>
      <c r="AJ17" s="40" t="n">
        <f aca="false">COUNTIF(AJ6:AJ15,"P")</f>
        <v>0</v>
      </c>
      <c r="AK17" s="41" t="n">
        <f aca="false">SUM(F17:AJ17)</f>
        <v>0</v>
      </c>
      <c r="AL17" s="42" t="s">
        <v>19</v>
      </c>
      <c r="AM17" s="42"/>
      <c r="AN17" s="42"/>
      <c r="AO17" s="2"/>
    </row>
    <row r="18" customFormat="false" ht="24.75" hidden="false" customHeight="true" outlineLevel="0" collapsed="false">
      <c r="B18" s="43" t="s">
        <v>20</v>
      </c>
      <c r="C18" s="43"/>
      <c r="D18" s="43"/>
      <c r="E18" s="43"/>
      <c r="F18" s="44" t="n">
        <f aca="false">SUM(F16:F17)</f>
        <v>0</v>
      </c>
      <c r="G18" s="44" t="n">
        <f aca="false">SUM(G16:G17)</f>
        <v>0</v>
      </c>
      <c r="H18" s="44" t="n">
        <f aca="false">SUM(H16:H17)</f>
        <v>0</v>
      </c>
      <c r="I18" s="44" t="n">
        <f aca="false">SUM(I16:I17)</f>
        <v>0</v>
      </c>
      <c r="J18" s="44" t="n">
        <f aca="false">SUM(J16:J17)</f>
        <v>0</v>
      </c>
      <c r="K18" s="44" t="n">
        <f aca="false">SUM(K16:K17)</f>
        <v>0</v>
      </c>
      <c r="L18" s="44" t="n">
        <f aca="false">SUM(L16:L17)</f>
        <v>0</v>
      </c>
      <c r="M18" s="44" t="n">
        <f aca="false">SUM(M16:M17)</f>
        <v>0</v>
      </c>
      <c r="N18" s="44" t="n">
        <f aca="false">SUM(N16:N17)</f>
        <v>0</v>
      </c>
      <c r="O18" s="44" t="n">
        <f aca="false">SUM(O16:O17)</f>
        <v>0</v>
      </c>
      <c r="P18" s="44" t="n">
        <f aca="false">SUM(P16:P17)</f>
        <v>0</v>
      </c>
      <c r="Q18" s="44" t="n">
        <f aca="false">SUM(Q16:Q17)</f>
        <v>0</v>
      </c>
      <c r="R18" s="44" t="n">
        <f aca="false">SUM(R16:R17)</f>
        <v>0</v>
      </c>
      <c r="S18" s="44" t="n">
        <f aca="false">SUM(S16:S17)</f>
        <v>0</v>
      </c>
      <c r="T18" s="44" t="n">
        <f aca="false">SUM(T16:T17)</f>
        <v>0</v>
      </c>
      <c r="U18" s="44" t="n">
        <f aca="false">SUM(U16:U17)</f>
        <v>0</v>
      </c>
      <c r="V18" s="44" t="n">
        <f aca="false">SUM(V16:V17)</f>
        <v>0</v>
      </c>
      <c r="W18" s="44" t="n">
        <f aca="false">SUM(W16:W17)</f>
        <v>0</v>
      </c>
      <c r="X18" s="44" t="n">
        <f aca="false">SUM(X16:X17)</f>
        <v>0</v>
      </c>
      <c r="Y18" s="44" t="n">
        <f aca="false">SUM(Y16:Y17)</f>
        <v>0</v>
      </c>
      <c r="Z18" s="44" t="n">
        <f aca="false">SUM(Z16:Z17)</f>
        <v>0</v>
      </c>
      <c r="AA18" s="44" t="n">
        <f aca="false">SUM(AA16:AA17)</f>
        <v>0</v>
      </c>
      <c r="AB18" s="44" t="n">
        <f aca="false">SUM(AB16:AB17)</f>
        <v>0</v>
      </c>
      <c r="AC18" s="44" t="n">
        <f aca="false">SUM(AC16:AC17)</f>
        <v>0</v>
      </c>
      <c r="AD18" s="44" t="n">
        <f aca="false">SUM(AD16:AD17)</f>
        <v>0</v>
      </c>
      <c r="AE18" s="44" t="n">
        <f aca="false">SUM(AE16:AE17)</f>
        <v>0</v>
      </c>
      <c r="AF18" s="44" t="n">
        <f aca="false">SUM(AF16:AF17)</f>
        <v>0</v>
      </c>
      <c r="AG18" s="44" t="n">
        <f aca="false">SUM(AG16:AG17)</f>
        <v>0</v>
      </c>
      <c r="AH18" s="44" t="n">
        <f aca="false">SUM(AH16:AH17)</f>
        <v>0</v>
      </c>
      <c r="AI18" s="44" t="n">
        <f aca="false">SUM(AI16:AI17)</f>
        <v>0</v>
      </c>
      <c r="AJ18" s="44" t="n">
        <f aca="false">SUM(AJ16:AJ17)</f>
        <v>0</v>
      </c>
      <c r="AK18" s="45" t="n">
        <f aca="false">SUM(F18:AJ18)</f>
        <v>0</v>
      </c>
      <c r="AL18" s="42"/>
      <c r="AM18" s="42"/>
      <c r="AN18" s="42"/>
    </row>
    <row r="21" customFormat="false" ht="24.75" hidden="false" customHeight="true" outlineLevel="0" collapsed="false">
      <c r="A21" s="46"/>
      <c r="B21" s="47" t="s">
        <v>21</v>
      </c>
      <c r="C21" s="48" t="s">
        <v>22</v>
      </c>
      <c r="D21" s="4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50" t="s">
        <v>23</v>
      </c>
      <c r="S21" s="50"/>
      <c r="T21" s="50"/>
      <c r="U21" s="50"/>
      <c r="V21" s="50"/>
      <c r="W21" s="50"/>
      <c r="X21" s="50"/>
      <c r="Y21" s="50"/>
      <c r="Z21" s="50"/>
      <c r="AA21" s="51" t="n">
        <f aca="false">SUM(AN6:AN15)</f>
        <v>0</v>
      </c>
      <c r="AB21" s="51"/>
      <c r="AC21" s="52"/>
      <c r="AD21" s="52"/>
      <c r="AE21" s="52"/>
      <c r="AF21" s="52"/>
      <c r="AG21" s="52"/>
      <c r="AH21" s="52"/>
      <c r="AI21" s="52"/>
      <c r="AJ21" s="52"/>
      <c r="AK21" s="53"/>
      <c r="AL21" s="54"/>
      <c r="AM21" s="53"/>
      <c r="AN21" s="53"/>
      <c r="AO21" s="53"/>
    </row>
    <row r="22" customFormat="false" ht="24.75" hidden="false" customHeight="true" outlineLevel="0" collapsed="false">
      <c r="A22" s="46"/>
      <c r="B22" s="55" t="s">
        <v>24</v>
      </c>
      <c r="C22" s="56" t="s">
        <v>15</v>
      </c>
      <c r="D22" s="56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57" t="s">
        <v>25</v>
      </c>
      <c r="S22" s="57"/>
      <c r="T22" s="57"/>
      <c r="U22" s="57"/>
      <c r="V22" s="57"/>
      <c r="W22" s="57"/>
      <c r="X22" s="57"/>
      <c r="Y22" s="58" t="n">
        <v>5</v>
      </c>
      <c r="Z22" s="59" t="n">
        <v>31</v>
      </c>
      <c r="AA22" s="60" t="n">
        <f aca="false">Y22*Z22</f>
        <v>155</v>
      </c>
      <c r="AB22" s="60"/>
      <c r="AC22" s="61"/>
      <c r="AD22" s="52"/>
      <c r="AE22" s="52"/>
      <c r="AF22" s="52"/>
      <c r="AG22" s="52"/>
      <c r="AH22" s="52"/>
      <c r="AI22" s="52"/>
      <c r="AJ22" s="52"/>
      <c r="AK22" s="53"/>
      <c r="AL22" s="54"/>
      <c r="AM22" s="53"/>
      <c r="AN22" s="53"/>
      <c r="AO22" s="53"/>
    </row>
    <row r="23" customFormat="false" ht="24.75" hidden="false" customHeight="true" outlineLevel="0" collapsed="false">
      <c r="A23" s="46"/>
      <c r="B23" s="62" t="s">
        <v>16</v>
      </c>
      <c r="C23" s="63" t="s">
        <v>26</v>
      </c>
      <c r="D23" s="63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64" t="s">
        <v>27</v>
      </c>
      <c r="S23" s="64"/>
      <c r="T23" s="64"/>
      <c r="U23" s="64"/>
      <c r="V23" s="64"/>
      <c r="W23" s="64"/>
      <c r="X23" s="64"/>
      <c r="Y23" s="64"/>
      <c r="Z23" s="64"/>
      <c r="AA23" s="60" t="n">
        <f aca="false">AA22-AA21</f>
        <v>155</v>
      </c>
      <c r="AB23" s="60"/>
      <c r="AC23" s="65"/>
      <c r="AD23" s="61"/>
      <c r="AE23" s="52"/>
      <c r="AF23" s="52"/>
      <c r="AG23" s="52"/>
      <c r="AH23" s="52"/>
      <c r="AI23" s="52"/>
      <c r="AJ23" s="52"/>
      <c r="AK23" s="53"/>
      <c r="AL23" s="53"/>
      <c r="AM23" s="53"/>
      <c r="AN23" s="53"/>
      <c r="AO23" s="53"/>
    </row>
    <row r="24" customFormat="false" ht="24.75" hidden="false" customHeight="true" outlineLevel="0" collapsed="false">
      <c r="A24" s="46"/>
      <c r="B24" s="66" t="s">
        <v>28</v>
      </c>
      <c r="C24" s="67" t="s">
        <v>29</v>
      </c>
      <c r="D24" s="67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68" t="s">
        <v>30</v>
      </c>
      <c r="S24" s="68"/>
      <c r="T24" s="68"/>
      <c r="U24" s="68"/>
      <c r="V24" s="68"/>
      <c r="W24" s="68"/>
      <c r="X24" s="68"/>
      <c r="Y24" s="68"/>
      <c r="Z24" s="68"/>
      <c r="AA24" s="69" t="n">
        <f aca="false">AA21/AA22*100</f>
        <v>0</v>
      </c>
      <c r="AB24" s="69"/>
      <c r="AC24" s="46"/>
      <c r="AD24" s="65"/>
      <c r="AE24" s="65"/>
      <c r="AF24" s="65"/>
      <c r="AG24" s="65"/>
      <c r="AH24" s="65"/>
      <c r="AI24" s="65"/>
      <c r="AJ24" s="65"/>
      <c r="AK24" s="53"/>
      <c r="AL24" s="53"/>
      <c r="AM24" s="53"/>
      <c r="AN24" s="53"/>
      <c r="AO24" s="53"/>
    </row>
    <row r="25" customFormat="false" ht="24.75" hidden="false" customHeight="true" outlineLevel="0" collapsed="false">
      <c r="A25" s="46"/>
      <c r="B25" s="70" t="s">
        <v>28</v>
      </c>
      <c r="C25" s="67" t="s">
        <v>31</v>
      </c>
      <c r="D25" s="67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71"/>
      <c r="X25" s="71"/>
      <c r="Y25" s="71"/>
      <c r="Z25" s="71"/>
      <c r="AA25" s="71"/>
      <c r="AB25" s="71"/>
      <c r="AC25" s="72"/>
      <c r="AD25" s="46"/>
      <c r="AE25" s="61"/>
      <c r="AF25" s="61"/>
      <c r="AG25" s="61"/>
      <c r="AH25" s="61"/>
      <c r="AI25" s="61"/>
      <c r="AJ25" s="61"/>
      <c r="AK25" s="73"/>
      <c r="AL25" s="73"/>
      <c r="AM25" s="73"/>
      <c r="AN25" s="73"/>
      <c r="AO25" s="73"/>
    </row>
    <row r="26" customFormat="false" ht="24.75" hidden="false" customHeight="true" outlineLevel="0" collapsed="false">
      <c r="A26" s="46"/>
      <c r="B26" s="47"/>
      <c r="C26" s="74" t="s">
        <v>32</v>
      </c>
      <c r="D26" s="74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71"/>
      <c r="X26" s="71"/>
      <c r="Y26" s="71"/>
      <c r="Z26" s="71"/>
      <c r="AA26" s="71"/>
      <c r="AB26" s="71"/>
      <c r="AC26" s="71"/>
      <c r="AD26" s="72"/>
      <c r="AE26" s="61"/>
      <c r="AF26" s="61"/>
      <c r="AG26" s="61"/>
      <c r="AH26" s="61"/>
      <c r="AI26" s="61"/>
      <c r="AJ26" s="61"/>
      <c r="AK26" s="73"/>
      <c r="AL26" s="73"/>
      <c r="AM26" s="73"/>
      <c r="AN26" s="73"/>
      <c r="AO26" s="73"/>
    </row>
    <row r="27" customFormat="false" ht="24.75" hidden="false" customHeight="true" outlineLevel="0" collapsed="false">
      <c r="A27" s="46"/>
      <c r="B27" s="46"/>
      <c r="C27" s="46"/>
      <c r="D27" s="46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AC27" s="71"/>
      <c r="AD27" s="71"/>
      <c r="AE27" s="71"/>
      <c r="AF27" s="71"/>
      <c r="AG27" s="71"/>
      <c r="AH27" s="71"/>
      <c r="AI27" s="71"/>
      <c r="AJ27" s="71"/>
      <c r="AK27" s="53"/>
      <c r="AL27" s="53"/>
      <c r="AM27" s="53"/>
      <c r="AN27" s="53"/>
      <c r="AO27" s="53"/>
    </row>
    <row r="28" customFormat="false" ht="24.75" hidden="false" customHeight="true" outlineLevel="0" collapsed="false">
      <c r="A28" s="46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AD28" s="71"/>
      <c r="AE28" s="71"/>
      <c r="AF28" s="71"/>
      <c r="AG28" s="71"/>
      <c r="AH28" s="71"/>
      <c r="AI28" s="71"/>
      <c r="AJ28" s="71"/>
      <c r="AK28" s="53"/>
      <c r="AL28" s="53"/>
      <c r="AM28" s="53"/>
      <c r="AN28" s="53"/>
      <c r="AO28" s="53"/>
    </row>
    <row r="29" customFormat="false" ht="24.75" hidden="false" customHeight="true" outlineLevel="0" collapsed="false">
      <c r="B29" s="49"/>
      <c r="C29" s="49"/>
      <c r="D29" s="75"/>
    </row>
    <row r="30" customFormat="false" ht="24.75" hidden="false" customHeight="true" outlineLevel="0" collapsed="false">
      <c r="B30" s="49"/>
      <c r="C30" s="49"/>
      <c r="D30" s="75"/>
    </row>
  </sheetData>
  <mergeCells count="49">
    <mergeCell ref="B2:AN2"/>
    <mergeCell ref="B3:AN3"/>
    <mergeCell ref="B4:B5"/>
    <mergeCell ref="C4:C5"/>
    <mergeCell ref="D4:D5"/>
    <mergeCell ref="E4:E5"/>
    <mergeCell ref="B6:B7"/>
    <mergeCell ref="C6:C7"/>
    <mergeCell ref="D6:D7"/>
    <mergeCell ref="E6:E7"/>
    <mergeCell ref="AN6:AN7"/>
    <mergeCell ref="B8:B9"/>
    <mergeCell ref="C8:C9"/>
    <mergeCell ref="D8:D9"/>
    <mergeCell ref="E8:E9"/>
    <mergeCell ref="AN8:AN9"/>
    <mergeCell ref="B10:B11"/>
    <mergeCell ref="C10:C11"/>
    <mergeCell ref="D10:D11"/>
    <mergeCell ref="E10:E11"/>
    <mergeCell ref="AN10:AN11"/>
    <mergeCell ref="B12:B13"/>
    <mergeCell ref="C12:C13"/>
    <mergeCell ref="D12:D13"/>
    <mergeCell ref="E12:E13"/>
    <mergeCell ref="AN12:AN13"/>
    <mergeCell ref="B14:B15"/>
    <mergeCell ref="C14:C15"/>
    <mergeCell ref="D14:D15"/>
    <mergeCell ref="E14:E15"/>
    <mergeCell ref="AN14:AN15"/>
    <mergeCell ref="B16:E16"/>
    <mergeCell ref="B17:E17"/>
    <mergeCell ref="AL17:AN18"/>
    <mergeCell ref="B18:E18"/>
    <mergeCell ref="C21:D21"/>
    <mergeCell ref="R21:Z21"/>
    <mergeCell ref="AA21:AB21"/>
    <mergeCell ref="C22:D22"/>
    <mergeCell ref="R22:X22"/>
    <mergeCell ref="AA22:AB22"/>
    <mergeCell ref="C23:D23"/>
    <mergeCell ref="R23:Z23"/>
    <mergeCell ref="AA23:AB23"/>
    <mergeCell ref="C24:D24"/>
    <mergeCell ref="R24:Z24"/>
    <mergeCell ref="AA24:AB24"/>
    <mergeCell ref="C25:D25"/>
    <mergeCell ref="C26:D26"/>
  </mergeCells>
  <conditionalFormatting sqref="F6:AJ15">
    <cfRule type="containsText" priority="2" operator="containsText" aboveAverage="0" equalAverage="0" bottom="0" percent="0" rank="0" text="HD" dxfId="0">
      <formula>NOT(ISERROR(SEARCH("HD",F6)))</formula>
    </cfRule>
    <cfRule type="containsText" priority="3" operator="containsText" aboveAverage="0" equalAverage="0" bottom="0" percent="0" rank="0" text="A" dxfId="1">
      <formula>NOT(ISERROR(SEARCH("A",F6)))</formula>
    </cfRule>
    <cfRule type="cellIs" priority="4" operator="equal" aboveAverage="0" equalAverage="0" bottom="0" percent="0" rank="0" text="" dxfId="2">
      <formula>"W/O"</formula>
    </cfRule>
  </conditionalFormatting>
  <conditionalFormatting sqref="B23">
    <cfRule type="containsText" priority="5" operator="containsText" aboveAverage="0" equalAverage="0" bottom="0" percent="0" rank="0" text="HD" dxfId="3">
      <formula>NOT(ISERROR(SEARCH("HD",B23)))</formula>
    </cfRule>
    <cfRule type="containsText" priority="6" operator="containsText" aboveAverage="0" equalAverage="0" bottom="0" percent="0" rank="0" text="A" dxfId="4">
      <formula>NOT(ISERROR(SEARCH("A",B23)))</formula>
    </cfRule>
    <cfRule type="containsText" priority="7" operator="containsText" aboveAverage="0" equalAverage="0" bottom="0" percent="0" rank="0" text="WO" dxfId="5">
      <formula>NOT(ISERROR(SEARCH("WO",B23)))</formula>
    </cfRule>
  </conditionalFormatting>
  <conditionalFormatting sqref="F17:AJ17">
    <cfRule type="cellIs" priority="8" operator="equal" aboveAverage="0" equalAverage="0" bottom="0" percent="0" rank="0" text="" dxfId="6">
      <formula>5</formula>
    </cfRule>
    <cfRule type="cellIs" priority="9" operator="lessThan" aboveAverage="0" equalAverage="0" bottom="0" percent="0" rank="0" text="" dxfId="7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colBreaks count="1" manualBreakCount="1">
    <brk id="36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2026-01-12T16:41:28Z</dcterms:created>
  <dc:creator/>
  <dc:description/>
  <dc:language>en-IN</dc:language>
  <cp:lastModifiedBy/>
  <dcterms:modified xsi:type="dcterms:W3CDTF">2026-01-12T16:42:27Z</dcterms:modified>
  <cp:revision>1</cp:revision>
  <dc:subject/>
  <dc:title/>
</cp:coreProperties>
</file>