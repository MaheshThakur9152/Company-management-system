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uparel Elara_TI" state="visible" r:id="rId4"/>
  </sheets>
  <calcPr calcId="171027"/>
</workbook>
</file>

<file path=xl/sharedStrings.xml><?xml version="1.0" encoding="utf-8"?>
<sst xmlns="http://schemas.openxmlformats.org/spreadsheetml/2006/main" count="46" uniqueCount="44">
  <si>
    <t>AMBE SERVICE</t>
  </si>
  <si>
    <t xml:space="preserve">Shop No - 49 A, Ground Floor, Pooja Enclave CHS Ltd, </t>
  </si>
  <si>
    <t>Invoice No :  AS/25-26/139</t>
  </si>
  <si>
    <t>Ganesh Nagar, Kandivali (West), Mumbai 400 067.</t>
  </si>
  <si>
    <t>Date:  04 December 2025</t>
  </si>
  <si>
    <t>Contact No: 022 45066566 / 9619607537</t>
  </si>
  <si>
    <t>Email : ambeservices.office@gmail.com</t>
  </si>
  <si>
    <t>GSTIN : 27AKEPT3780G1ZU</t>
  </si>
  <si>
    <t>Name &amp; Add of Party</t>
  </si>
  <si>
    <t>Billing Period :1st to 31st November  2025</t>
  </si>
  <si>
    <t>Shree Siddhivinayak Infrastructure &amp; Realty</t>
  </si>
  <si>
    <t>Ruparel Elara, Ekta Nagar, New Link Road,</t>
  </si>
  <si>
    <t>Kandivali West Mumbai, Maharashtra, 400067</t>
  </si>
  <si>
    <t xml:space="preserve"> </t>
  </si>
  <si>
    <r>
      <rPr>
        <charset val="1"/>
        <color theme="1"/>
        <family val="2"/>
        <sz val="10"/>
        <rFont val="Calibri"/>
      </rPr>
      <t>Project Name:</t>
    </r>
    <r>
      <rPr>
        <b/>
        <charset val="1"/>
        <color theme="1"/>
        <family val="2"/>
        <sz val="10"/>
        <rFont val="Calibri"/>
      </rPr>
      <t xml:space="preserve"> Ruparel Elara</t>
    </r>
  </si>
  <si>
    <t>GSTIN : 27ABVFS5422N1ZC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</si>
  <si>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</si>
  <si>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</si>
  <si>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</si>
  <si>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</si>
  <si>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</si>
  <si>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</si>
  <si>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</si>
  <si>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</si>
  <si>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{{LINE_ITEMS_START}}</t>
  </si>
  <si>
    <t>Housekeeper</t>
  </si>
  <si>
    <t>Property Supervisor</t>
  </si>
  <si>
    <t xml:space="preserve"> Night Shift</t>
  </si>
  <si>
    <t>{{SUBTOTAL}}</t>
  </si>
  <si>
    <t>{{TOTAL_BEFORE_TAX}}</t>
  </si>
  <si>
    <t>{{MANAGEMENT}}</t>
  </si>
  <si>
    <t>Bank Details</t>
  </si>
  <si>
    <t>Bank Name :  Union Bank of India</t>
  </si>
  <si>
    <t xml:space="preserve">Acc no : 510101006571089 </t>
  </si>
  <si>
    <t>IFSC Code: UBIN0903302   Branch: kandivali west</t>
  </si>
  <si>
    <t>{{CGST}}</t>
  </si>
  <si>
    <t>{{AMOUNT_IN_WORDS}}</t>
  </si>
  <si>
    <t>{{SGST}}</t>
  </si>
  <si>
    <t>Eighty Four Thousand Seven Hundred and Forty Seven Only</t>
  </si>
  <si>
    <t>{{TOTAL}}</t>
  </si>
  <si>
    <t>Udyam Reg. No : UDYAM-MH-18-0108068</t>
  </si>
  <si>
    <t>Round off (+-)</t>
  </si>
  <si>
    <t xml:space="preserve">Terms &amp; condition : 
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</si>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</sst>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bottom"/>
    </xf>
    <xf numFmtId="0" fontId="3" fillId="0" borderId="4" xfId="0" applyFont="1" applyBorder="1" applyAlignment="1">
      <alignment vertical="bottom"/>
    </xf>
    <xf numFmtId="0" fontId="3" fillId="0" borderId="5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bottom"/>
    </xf>
    <xf numFmtId="0" fontId="3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2" fontId="3" fillId="0" borderId="10" xfId="0" applyNumberFormat="1" applyFont="1" applyBorder="1" applyAlignment="1">
      <alignment vertical="bottom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bottom"/>
    </xf>
    <xf numFmtId="0" fontId="3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vertical="bottom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2" fontId="3" fillId="0" borderId="3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4" fontId="3" fillId="0" borderId="10" xfId="0" applyNumberFormat="1" applyFont="1" applyBorder="1" applyAlignment="1">
      <alignment vertical="bottom"/>
    </xf>
    <xf numFmtId="2" fontId="3" fillId="0" borderId="5" xfId="0" applyNumberFormat="1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7" fillId="0" borderId="3" xfId="0" applyFont="1" applyBorder="1" applyAlignment="1">
      <alignment horizontal="left" vertical="bottom"/>
    </xf>
    <xf numFmtId="2" fontId="3" fillId="0" borderId="5" xfId="0" applyNumberFormat="1" applyFont="1" applyBorder="1" applyAlignment="1">
      <alignment horizontal="right" vertical="bottom"/>
    </xf>
    <xf numFmtId="0" fontId="4" fillId="0" borderId="3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3" fontId="3" fillId="0" borderId="5" xfId="0" applyNumberFormat="1" applyFont="1" applyBorder="1" applyAlignment="1">
      <alignment horizontal="center" vertical="bottom"/>
    </xf>
    <xf numFmtId="0" fontId="7" fillId="0" borderId="9" xfId="0" applyFont="1" applyBorder="1" applyAlignment="1">
      <alignment horizontal="left" vertical="bottom"/>
    </xf>
    <xf numFmtId="2" fontId="3" fillId="0" borderId="9" xfId="0" applyNumberFormat="1" applyFont="1" applyBorder="1" applyAlignment="1">
      <alignment vertical="bottom"/>
    </xf>
    <xf numFmtId="0" fontId="8" fillId="0" borderId="3" xfId="0" applyFont="1" applyBorder="1" applyAlignment="1">
      <alignment horizontal="left" vertical="bottom"/>
    </xf>
    <xf numFmtId="3" fontId="3" fillId="0" borderId="5" xfId="0" applyNumberFormat="1" applyFont="1" applyBorder="1" applyAlignment="1">
      <alignment vertical="bottom"/>
    </xf>
    <xf numFmtId="0" fontId="7" fillId="0" borderId="11" xfId="0" applyFont="1" applyBorder="1" applyAlignment="1">
      <alignment horizontal="left" vertical="bottom"/>
    </xf>
    <xf numFmtId="4" fontId="3" fillId="0" borderId="11" xfId="0" applyNumberFormat="1" applyFont="1" applyBorder="1" applyAlignment="1">
      <alignment horizontal="right" vertical="bottom"/>
    </xf>
    <xf numFmtId="4" fontId="3" fillId="0" borderId="9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top"/>
    </xf>
    <xf numFmtId="4" fontId="3" fillId="0" borderId="8" xfId="0" applyNumberFormat="1" applyFont="1" applyBorder="1" applyAlignment="1">
      <alignment vertical="top" wrapText="1"/>
    </xf>
    <xf numFmtId="0" fontId="3" fillId="0" borderId="1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9.109375" customHeight="1"/>
  <cols>
    <col min="1" max="1" width="5.33" customWidth="1"/>
    <col min="2" max="2" width="25.44" customWidth="1"/>
    <col min="3" max="3" width="8.67" customWidth="1"/>
    <col min="4" max="4" width="7.67" customWidth="1"/>
    <col min="7" max="7" width="12.11" customWidth="1"/>
    <col min="8" max="8" width="11.89" customWidth="1"/>
  </cols>
  <sheetData>
    <row r="1" ht="22.05" customHeight="1" spans="1:20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20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20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20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20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20" x14ac:dyDescent="0.25">
      <c r="A6" s="5" t="s">
        <v>7</v>
      </c>
      <c r="B6" s="5"/>
      <c r="C6" s="5"/>
      <c r="D6" s="5"/>
      <c r="E6" s="5"/>
      <c r="F6" s="5"/>
      <c r="G6" s="6"/>
      <c r="H6" s="7"/>
    </row>
    <row r="7" ht="14.25" customHeight="1" spans="1:20" x14ac:dyDescent="0.25">
      <c r="A7" s="8" t="s">
        <v>8</v>
      </c>
      <c r="B7" s="8"/>
      <c r="C7" s="8"/>
      <c r="D7" s="8"/>
      <c r="E7" s="8"/>
      <c r="F7" s="8" t="s">
        <v>9</v>
      </c>
      <c r="G7" s="8"/>
      <c r="H7" s="8"/>
    </row>
    <row r="8" ht="14.25" customHeight="1" spans="1:20" x14ac:dyDescent="0.25">
      <c r="A8" s="9" t="s">
        <v>10</v>
      </c>
      <c r="B8" s="9"/>
      <c r="C8" s="9"/>
      <c r="D8" s="9"/>
      <c r="E8" s="10"/>
      <c r="F8" s="11"/>
      <c r="G8" s="10"/>
      <c r="H8" s="12"/>
    </row>
    <row r="9" ht="14.25" customHeight="1" spans="1:20" x14ac:dyDescent="0.25">
      <c r="A9" s="13" t="s">
        <v>11</v>
      </c>
      <c r="B9" s="13"/>
      <c r="C9" s="13"/>
      <c r="D9" s="13"/>
      <c r="E9" s="13"/>
      <c r="F9" s="14"/>
      <c r="H9" s="15"/>
    </row>
    <row r="10" ht="14.25" customHeight="1" spans="1:20" x14ac:dyDescent="0.25">
      <c r="A10" s="13" t="s">
        <v>12</v>
      </c>
      <c r="B10" s="13"/>
      <c r="C10" s="13"/>
      <c r="D10" s="13"/>
      <c r="E10" s="13"/>
      <c r="F10" s="14"/>
      <c r="H10" s="15" t="s">
        <v>13</v>
      </c>
    </row>
    <row r="11" ht="14.25" customHeight="1" spans="1:20" x14ac:dyDescent="0.25">
      <c r="A11" s="13" t="s">
        <v>14</v>
      </c>
      <c r="B11" s="13"/>
      <c r="C11" s="13"/>
      <c r="D11" s="13"/>
      <c r="E11" s="13"/>
      <c r="F11" s="14"/>
      <c r="H11" s="15"/>
    </row>
    <row r="12" ht="14.25" customHeight="1" spans="1:20" x14ac:dyDescent="0.25">
      <c r="A12" s="13" t="s">
        <v>15</v>
      </c>
      <c r="B12" s="13"/>
      <c r="C12" s="13"/>
      <c r="D12" s="13"/>
      <c r="E12" s="6"/>
      <c r="F12" s="16"/>
      <c r="G12" s="17"/>
      <c r="H12" s="18"/>
    </row>
    <row r="13" ht="14.25" customHeight="1" spans="1:20" x14ac:dyDescent="0.25">
      <c r="A13" s="19" t="s">
        <v>16</v>
      </c>
      <c r="B13" s="19"/>
      <c r="C13" s="19"/>
      <c r="D13" s="19"/>
      <c r="E13" s="19"/>
      <c r="F13" s="19"/>
      <c r="G13" s="19"/>
      <c r="H13" s="19"/>
    </row>
    <row r="14" ht="14.25" customHeight="1" spans="1:20" x14ac:dyDescent="0.25">
      <c r="A14" s="19"/>
      <c r="B14" s="19"/>
      <c r="C14" s="19"/>
      <c r="D14" s="19"/>
      <c r="E14" s="19"/>
      <c r="F14" s="19"/>
      <c r="G14" s="19"/>
      <c r="H14" s="19"/>
    </row>
    <row r="15" ht="14.25" customHeight="1" spans="1:20" x14ac:dyDescent="0.25">
      <c r="A15" s="20" t="s">
        <v>17</v>
      </c>
      <c r="B15" s="20" t="s">
        <v>18</v>
      </c>
      <c r="C15" s="20" t="s">
        <v>19</v>
      </c>
      <c r="D15" s="20" t="s">
        <v>20</v>
      </c>
      <c r="E15" s="21" t="s">
        <v>21</v>
      </c>
      <c r="F15" s="21"/>
      <c r="G15" s="20" t="s">
        <v>22</v>
      </c>
      <c r="H15" s="22" t="s">
        <v>23</v>
      </c>
    </row>
    <row r="16" ht="14.25" customHeight="1" spans="1:20" x14ac:dyDescent="0.25">
      <c r="A16" s="20"/>
      <c r="B16" s="20"/>
      <c r="C16" s="20"/>
      <c r="D16" s="20"/>
      <c r="E16" s="23"/>
      <c r="F16" s="24"/>
      <c r="G16" s="20"/>
      <c r="H16" s="25"/>
    </row>
    <row r="17" ht="14.25" customHeight="1" spans="1:20" x14ac:dyDescent="0.25">
      <c r="A17" s="26" t="s">
        <v>24</v>
      </c>
      <c r="B17" s="26" t="s">
        <v>25</v>
      </c>
      <c r="C17" s="26">
        <v>9985</v>
      </c>
      <c r="D17" s="27">
        <v>14000</v>
      </c>
      <c r="E17" s="20">
        <v>60</v>
      </c>
      <c r="F17" s="20"/>
      <c r="G17" s="28">
        <v>2</v>
      </c>
      <c r="H17" s="29">
        <f>E17*(D17/30)</f>
        <v>28000</v>
      </c>
    </row>
    <row r="18" ht="14.25" customHeight="1" spans="1:20" x14ac:dyDescent="0.25">
      <c r="A18" s="30">
        <v>2</v>
      </c>
      <c r="B18" s="31" t="s">
        <v>26</v>
      </c>
      <c r="C18" s="26">
        <v>9985</v>
      </c>
      <c r="D18" s="27">
        <v>33000</v>
      </c>
      <c r="E18" s="32">
        <v>35</v>
      </c>
      <c r="F18" s="32"/>
      <c r="G18" s="28">
        <v>1</v>
      </c>
      <c r="H18" s="29">
        <f>E18*(D18/30)</f>
        <v>38500</v>
      </c>
    </row>
    <row r="19" ht="14.25" customHeight="1" spans="1:20" x14ac:dyDescent="0.25">
      <c r="A19" s="30"/>
      <c r="B19" s="26" t="s">
        <v>27</v>
      </c>
      <c r="C19" s="26">
        <v>9985</v>
      </c>
      <c r="D19" s="27">
        <v>33000</v>
      </c>
      <c r="E19" s="33">
        <v>0</v>
      </c>
      <c r="F19" s="33"/>
      <c r="G19" s="34">
        <v>0</v>
      </c>
      <c r="H19" s="29">
        <f>E19*(D19/30)</f>
        <v>0</v>
      </c>
    </row>
    <row r="20" ht="14.25" customHeight="1" spans="1:20" x14ac:dyDescent="0.25">
      <c r="A20" s="35"/>
      <c r="B20" s="36"/>
      <c r="C20" s="37"/>
      <c r="D20" s="38"/>
      <c r="E20" s="39"/>
      <c r="F20" s="39"/>
      <c r="G20" s="38"/>
      <c r="H20" s="40"/>
    </row>
    <row r="21" ht="14.25" customHeight="1" spans="1:20" x14ac:dyDescent="0.25">
      <c r="A21" s="38"/>
      <c r="B21" s="15"/>
      <c r="C21" s="38"/>
      <c r="D21" s="38"/>
      <c r="E21" s="14"/>
      <c r="F21" s="15"/>
      <c r="G21" s="15"/>
      <c r="H21" s="15"/>
    </row>
    <row r="22" ht="14.25" customHeight="1" spans="1:20" x14ac:dyDescent="0.25">
      <c r="A22" s="38"/>
      <c r="B22" s="38"/>
      <c r="C22" s="38"/>
      <c r="D22" s="38"/>
      <c r="E22" s="14"/>
      <c r="F22" s="15"/>
      <c r="G22" s="38"/>
      <c r="H22" s="15"/>
    </row>
    <row r="23" ht="14.25" customHeight="1" spans="1:20" x14ac:dyDescent="0.25">
      <c r="A23" s="38"/>
      <c r="B23" s="38"/>
      <c r="C23" s="4"/>
      <c r="D23" s="41" t="s">
        <v>28</v>
      </c>
      <c r="E23" s="41"/>
      <c r="F23" s="41"/>
      <c r="G23" s="41"/>
      <c r="H23" s="42" t="s">
        <v>29</v>
      </c>
    </row>
    <row r="24" ht="14.25" customHeight="1" spans="1:20" x14ac:dyDescent="0.25">
      <c r="A24" s="34"/>
      <c r="B24" s="34"/>
      <c r="C24" s="34"/>
      <c r="D24" s="7" t="s">
        <v>30</v>
      </c>
      <c r="E24" s="7"/>
      <c r="F24" s="7"/>
      <c r="G24" s="7"/>
      <c r="H24" s="43">
        <f>H23*8%</f>
        <v>5320</v>
      </c>
    </row>
    <row r="25" ht="14.25" customHeight="1" spans="1:20" x14ac:dyDescent="0.25">
      <c r="A25" s="44" t="s">
        <v>31</v>
      </c>
      <c r="B25" s="44"/>
      <c r="C25" s="44"/>
      <c r="D25" s="45"/>
      <c r="E25" s="45"/>
      <c r="F25" s="45"/>
      <c r="G25" s="45"/>
      <c r="H25" s="46"/>
    </row>
    <row r="26" ht="14.25" customHeight="1" spans="1:20" x14ac:dyDescent="0.25">
      <c r="A26" s="13" t="s">
        <v>32</v>
      </c>
      <c r="B26" s="13"/>
      <c r="C26" s="13"/>
      <c r="D26" s="47" t="s">
        <v>29</v>
      </c>
      <c r="E26" s="47"/>
      <c r="F26" s="47"/>
      <c r="G26" s="47"/>
      <c r="H26" s="48">
        <f>H23+H24</f>
        <v>71820</v>
      </c>
    </row>
    <row r="27" ht="14.25" customHeight="1" spans="1:20" x14ac:dyDescent="0.25">
      <c r="A27" s="49" t="s">
        <v>33</v>
      </c>
      <c r="B27" s="49"/>
      <c r="C27" s="49"/>
      <c r="D27" s="50"/>
      <c r="E27" s="50"/>
      <c r="F27" s="50"/>
      <c r="G27" s="50"/>
      <c r="H27" s="51"/>
    </row>
    <row r="28" ht="14.25" customHeight="1" spans="1:20" x14ac:dyDescent="0.25">
      <c r="A28" s="49" t="s">
        <v>34</v>
      </c>
      <c r="B28" s="49"/>
      <c r="C28" s="49"/>
      <c r="D28" s="52" t="s">
        <v>35</v>
      </c>
      <c r="E28" s="52"/>
      <c r="F28" s="52"/>
      <c r="G28" s="52"/>
      <c r="H28" s="53">
        <f>H26*9%</f>
        <v>6463.8</v>
      </c>
    </row>
    <row r="29" ht="14.25" customHeight="1" spans="1:20" x14ac:dyDescent="0.25">
      <c r="A29" s="44" t="s">
        <v>36</v>
      </c>
      <c r="B29" s="44"/>
      <c r="C29" s="44"/>
      <c r="D29" s="52" t="s">
        <v>37</v>
      </c>
      <c r="E29" s="52"/>
      <c r="F29" s="52"/>
      <c r="G29" s="52"/>
      <c r="H29" s="53">
        <f>H26*9%</f>
        <v>6463.8</v>
      </c>
    </row>
    <row r="30" ht="14.25" customHeight="1" spans="1:20" x14ac:dyDescent="0.25">
      <c r="A30" s="44"/>
      <c r="B30" s="44"/>
      <c r="C30" s="44"/>
      <c r="G30" s="15"/>
      <c r="H30" s="15"/>
    </row>
    <row r="31" ht="14.25" customHeight="1" spans="1:20" x14ac:dyDescent="0.25">
      <c r="A31" s="54" t="s">
        <v>38</v>
      </c>
      <c r="B31" s="54"/>
      <c r="C31" s="54"/>
      <c r="G31" s="15"/>
      <c r="H31" s="55"/>
    </row>
    <row r="32" ht="14.25" customHeight="1" spans="1:20" x14ac:dyDescent="0.25">
      <c r="A32" s="54"/>
      <c r="B32" s="54"/>
      <c r="C32" s="54"/>
      <c r="D32" s="56" t="s">
        <v>39</v>
      </c>
      <c r="E32" s="56"/>
      <c r="F32" s="56"/>
      <c r="G32" s="56"/>
      <c r="H32" s="57">
        <f>SUM(H26+H28+H29)</f>
        <v>84747.6</v>
      </c>
    </row>
    <row r="33" ht="14.25" customHeight="1" spans="1:20" x14ac:dyDescent="0.25">
      <c r="A33" s="54" t="s">
        <v>40</v>
      </c>
      <c r="B33" s="54"/>
      <c r="C33" s="54"/>
      <c r="D33" s="52" t="s">
        <v>41</v>
      </c>
      <c r="E33" s="52"/>
      <c r="F33" s="52"/>
      <c r="G33" s="52"/>
      <c r="H33" s="58">
        <v>0.6</v>
      </c>
    </row>
    <row r="34" ht="15" customHeight="1" spans="1:20" x14ac:dyDescent="0.25">
      <c r="A34" s="16"/>
      <c r="D34" s="59" t="s">
        <v>29</v>
      </c>
      <c r="E34" s="59"/>
      <c r="F34" s="59"/>
      <c r="G34" s="59"/>
      <c r="H34" s="60">
        <f>H32-H33</f>
        <v>84747</v>
      </c>
    </row>
    <row r="35" ht="14.25" customHeight="1" spans="1:20" x14ac:dyDescent="0.25">
      <c r="A35" s="19" t="s">
        <v>42</v>
      </c>
      <c r="B35" s="19"/>
      <c r="C35" s="19"/>
      <c r="D35" s="61" t="s">
        <v>43</v>
      </c>
      <c r="E35" s="61"/>
      <c r="F35" s="61"/>
      <c r="G35" s="61"/>
      <c r="H35" s="61"/>
    </row>
    <row r="36" ht="14.25" customHeight="1" spans="1:20" x14ac:dyDescent="0.25">
      <c r="A36" s="19"/>
      <c r="B36" s="19"/>
      <c r="C36" s="19"/>
      <c r="D36" s="61"/>
      <c r="E36" s="61"/>
      <c r="F36" s="61"/>
      <c r="G36" s="61"/>
      <c r="H36" s="61"/>
    </row>
    <row r="37" ht="14.25" customHeight="1" spans="1:20" x14ac:dyDescent="0.25">
      <c r="A37" s="19"/>
      <c r="B37" s="19"/>
      <c r="C37" s="19"/>
      <c r="D37" s="61"/>
      <c r="E37" s="61"/>
      <c r="F37" s="61"/>
      <c r="G37" s="61"/>
      <c r="H37" s="61"/>
    </row>
    <row r="38" ht="14.25" customHeight="1" spans="1:20" x14ac:dyDescent="0.25">
      <c r="A38" s="19"/>
      <c r="B38" s="19"/>
      <c r="C38" s="19"/>
      <c r="D38" s="61"/>
      <c r="E38" s="61"/>
      <c r="F38" s="61"/>
      <c r="G38" s="61"/>
      <c r="H38" s="61"/>
    </row>
    <row r="39" ht="14.25" customHeight="1" spans="1:20" x14ac:dyDescent="0.25">
      <c r="A39" s="19"/>
      <c r="B39" s="19"/>
      <c r="C39" s="19"/>
      <c r="D39" s="61"/>
      <c r="E39" s="61"/>
      <c r="F39" s="61"/>
      <c r="G39" s="61"/>
      <c r="H39" s="61"/>
    </row>
    <row r="40" ht="14.25" customHeight="1" spans="1:20" x14ac:dyDescent="0.25">
      <c r="A40" s="19"/>
      <c r="B40" s="19"/>
      <c r="C40" s="19"/>
      <c r="D40" s="61"/>
      <c r="E40" s="61"/>
      <c r="F40" s="61"/>
      <c r="G40" s="61"/>
      <c r="H40" s="61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0:E10"/>
    <mergeCell ref="A11:E11"/>
    <mergeCell ref="A12:D12"/>
    <mergeCell ref="A13:H14"/>
    <mergeCell ref="E15:F15"/>
    <mergeCell ref="A15:A16"/>
    <mergeCell ref="B15:B16"/>
    <mergeCell ref="C15:C16"/>
    <mergeCell ref="D15:D16"/>
    <mergeCell ref="G15:G16"/>
    <mergeCell ref="E17:F17"/>
    <mergeCell ref="E18:F18"/>
    <mergeCell ref="A18:A19"/>
    <mergeCell ref="E19:F19"/>
    <mergeCell ref="E20:F20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A32:C32"/>
    <mergeCell ref="D32:G32"/>
    <mergeCell ref="A33:C33"/>
    <mergeCell ref="D33:G33"/>
    <mergeCell ref="D34:G34"/>
    <mergeCell ref="A35:C40"/>
    <mergeCell ref="D35:H40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Ruparel Elara_TI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2026-01-11T13:29:47Z</dcterms:created>
  <dcterms:modified xsi:type="dcterms:W3CDTF">2026-01-11T13:30:16Z</dcterms:modified>
</cp:coreProperties>
</file>