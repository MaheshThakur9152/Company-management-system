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REEY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<sst xmlns="http://schemas.openxmlformats.org/spreadsheetml/2006/main" count="41" uniqueCount="41">
  <si>
    <t xml:space="preserve">AMBE SERVICE</t>
  </si>
  <si>
    <t xml:space="preserve">Shop No - 49 A, Ground Floor, Pooja Enclave CHS Ltd, </t>
  </si>
  <si>
    <t xml:space="preserve">Invoice No :  AS/25-26/137</t>
  </si>
  <si>
    <t xml:space="preserve">Ganesh Nagar, Kandivali (West), Mumbai 400 067.</t>
  </si>
  <si>
    <t xml:space="preserve">Date:  04 December 2025</t>
  </si>
  <si>
    <t xml:space="preserve">Contact No: 022 45066566 / 9619607537</t>
  </si>
  <si>
    <t xml:space="preserve">Email : ambeservices.office@gmail.com</t>
  </si>
  <si>
    <t xml:space="preserve">GSTIN : 27AKEPT3780G1ZU</t>
  </si>
  <si>
    <t xml:space="preserve">Name &amp; Add of Party</t>
  </si>
  <si>
    <t xml:space="preserve">Billing Period :1st to 31st November  2025</t>
  </si>
  <si>
    <t xml:space="preserve">Shrreeya Developers</t>
  </si>
  <si>
    <t xml:space="preserve">Ganesh nagar, charkop, Kandivali west, Mumbai 400067. </t>
  </si>
  <si>
    <t xml:space="preserve">GSTIN : 27ACDFS6750N1ZJ</t>
  </si>
  <si>
    <t xml:space="preserve">We thank you very much for valuable interest shown in our organzaion. We would like to submit  our bill for providing our services.</t>
  </si>
  <si>
    <t xml:space="preserve">Sr No</t>
  </si>
  <si>
    <t xml:space="preserve">Description of Services</t>
  </si>
  <si>
    <t xml:space="preserve">HSN Code</t>
  </si>
  <si>
    <t xml:space="preserve">Rate</t>
  </si>
  <si>
    <t xml:space="preserve">Working Days</t>
  </si>
  <si>
    <t xml:space="preserve">Persons</t>
  </si>
  <si>
    <r>
      <rPr>
        <sz val="10"/>
        <rFont val="Arial"/>
        <family val="2"/>
      </rPr>
      <t xml:space="preserve">Amount </t>
    </r>
    <r>
      <rPr>
        <sz val="8"/>
        <color theme="1"/>
        <rFont val="Calibri"/>
        <family val="2"/>
        <charset val="1"/>
      </rPr>
      <t xml:space="preserve">(RS)</t>
    </r>
  </si>
  <si>
    <t xml:space="preserve">Housekeeping</t>
  </si>
  <si>
    <t xml:space="preserve"> </t>
  </si>
  <si>
    <t xml:space="preserve">Material Charges</t>
  </si>
  <si>
    <t xml:space="preserve">Sub Total</t>
  </si>
  <si>
    <t xml:space="preserve">Management charges @ 15%</t>
  </si>
  <si>
    <t xml:space="preserve">Bank Details</t>
  </si>
  <si>
    <t xml:space="preserve">Bank Name :  Union Bank of India</t>
  </si>
  <si>
    <t xml:space="preserve">Total</t>
  </si>
  <si>
    <t xml:space="preserve">Acc no : 510101006571089 </t>
  </si>
  <si>
    <t xml:space="preserve">IFSC Code: UBIN0903302   Branch: kandivali west</t>
  </si>
  <si>
    <t xml:space="preserve">Add CGST @ 9%</t>
  </si>
  <si>
    <t xml:space="preserve">Amount Chargeble in words(INR) : </t>
  </si>
  <si>
    <t xml:space="preserve">Add SGST @ 9%</t>
  </si>
  <si>
    <t xml:space="preserve">Eighty Eight Thousand  Two Hundred and Five Only</t>
  </si>
  <si>
    <t xml:space="preserve">Total </t>
  </si>
  <si>
    <t xml:space="preserve">Udyam Reg. No : UDYAM-MH-18-0108068</t>
  </si>
  <si>
    <t xml:space="preserve">Round off (+-)</t>
  </si>
  <si>
    <t xml:space="preserve">Total Amount</t>
  </si>
  <si>
    <t xml:space="preserve">Terms &amp; condition : 
  Payment should not be done in Cash
</t>
  </si>
  <si>
    <t xml:space="preserve">For Ambe Service  
Authorized signatory
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</si>
</sst>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"/>
    <numFmt numFmtId="167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color rgb="FFFF0000"/>
      <name val="Calibri"/>
      <family val="2"/>
      <charset val="1"/>
    </font>
    <font>
      <sz val="12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1"/>
      <color theme="1" tint="0.0499"/>
      <name val="Calibri"/>
      <family val="2"/>
      <charset val="1"/>
    </font>
    <font>
      <sz val="8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9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1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righ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D0D0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5.33"/>
    <col collapsed="false" customWidth="true" hidden="false" outlineLevel="0" max="2" min="2" style="0" width="25.44"/>
    <col collapsed="false" customWidth="true" hidden="false" outlineLevel="0" max="3" min="3" style="0" width="10.11"/>
    <col collapsed="false" customWidth="true" hidden="false" outlineLevel="0" max="4" min="4" style="0" width="8.34"/>
    <col collapsed="false" customWidth="true" hidden="false" outlineLevel="0" max="5" min="5" style="0" width="9"/>
    <col collapsed="false" customWidth="true" hidden="false" outlineLevel="0" max="6" min="6" style="0" width="8.11"/>
    <col collapsed="false" customWidth="true" hidden="false" outlineLevel="0" max="7" min="7" style="0" width="11"/>
    <col collapsed="false" customWidth="true" hidden="false" outlineLevel="0" max="8" min="8" style="0" width="12.44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  <c r="F1" s="2"/>
      <c r="G1" s="2"/>
      <c r="H1" s="2"/>
    </row>
    <row r="2" customFormat="false" ht="14.25" hidden="false" customHeight="false" outlineLevel="0" collapsed="false">
      <c r="A2" s="3" t="s">
        <v>1</v>
      </c>
      <c r="B2" s="3"/>
      <c r="C2" s="3"/>
      <c r="D2" s="3"/>
      <c r="E2" s="3"/>
      <c r="F2" s="4" t="s">
        <v>2</v>
      </c>
      <c r="G2" s="4"/>
      <c r="H2" s="4"/>
    </row>
    <row r="3" customFormat="false" ht="14.25" hidden="false" customHeight="false" outlineLevel="0" collapsed="false">
      <c r="A3" s="3" t="s">
        <v>3</v>
      </c>
      <c r="B3" s="3"/>
      <c r="C3" s="3"/>
      <c r="D3" s="3"/>
      <c r="E3" s="3"/>
      <c r="F3" s="4" t="s">
        <v>4</v>
      </c>
      <c r="G3" s="4"/>
      <c r="H3" s="4"/>
    </row>
    <row r="4" customFormat="false" ht="14.25" hidden="false" customHeight="false" outlineLevel="0" collapsed="false">
      <c r="A4" s="5" t="s">
        <v>5</v>
      </c>
      <c r="B4" s="5"/>
      <c r="C4" s="5"/>
      <c r="D4" s="5"/>
      <c r="E4" s="5"/>
      <c r="F4" s="4"/>
      <c r="G4" s="4"/>
      <c r="H4" s="4"/>
    </row>
    <row r="5" customFormat="false" ht="14.25" hidden="false" customHeight="false" outlineLevel="0" collapsed="false">
      <c r="A5" s="5" t="s">
        <v>6</v>
      </c>
      <c r="B5" s="5"/>
      <c r="C5" s="5"/>
      <c r="D5" s="5"/>
      <c r="E5" s="5"/>
      <c r="F5" s="4"/>
      <c r="G5" s="4"/>
      <c r="H5" s="4"/>
    </row>
    <row r="6" customFormat="false" ht="14.25" hidden="false" customHeight="false" outlineLevel="0" collapsed="false">
      <c r="A6" s="6" t="s">
        <v>7</v>
      </c>
      <c r="B6" s="6"/>
      <c r="C6" s="6"/>
      <c r="D6" s="6"/>
      <c r="E6" s="6"/>
      <c r="F6" s="7"/>
      <c r="G6" s="8"/>
      <c r="H6" s="9"/>
    </row>
    <row r="7" customFormat="false" ht="14.25" hidden="false" customHeight="false" outlineLevel="0" collapsed="false">
      <c r="A7" s="10" t="s">
        <v>8</v>
      </c>
      <c r="B7" s="10"/>
      <c r="C7" s="10"/>
      <c r="D7" s="10"/>
      <c r="E7" s="10"/>
      <c r="F7" s="11" t="s">
        <v>9</v>
      </c>
      <c r="G7" s="11"/>
      <c r="H7" s="11"/>
    </row>
    <row r="8" customFormat="false" ht="14.25" hidden="false" customHeight="false" outlineLevel="0" collapsed="false">
      <c r="A8" s="12" t="s">
        <v>10</v>
      </c>
      <c r="B8" s="12"/>
      <c r="C8" s="12"/>
      <c r="D8" s="12"/>
      <c r="E8" s="13"/>
      <c r="F8" s="14"/>
      <c r="G8" s="13"/>
      <c r="H8" s="15"/>
    </row>
    <row r="9" customFormat="false" ht="14.25" hidden="false" customHeight="false" outlineLevel="0" collapsed="false">
      <c r="A9" s="10" t="s">
        <v>11</v>
      </c>
      <c r="B9" s="10"/>
      <c r="C9" s="10"/>
      <c r="D9" s="10"/>
      <c r="E9" s="10"/>
      <c r="F9" s="16"/>
      <c r="H9" s="17"/>
    </row>
    <row r="10" customFormat="false" ht="14.25" hidden="false" customHeight="false" outlineLevel="0" collapsed="false">
      <c r="A10" s="10"/>
      <c r="B10" s="8"/>
      <c r="C10" s="8"/>
      <c r="D10" s="8"/>
      <c r="E10" s="8"/>
      <c r="F10" s="16"/>
      <c r="H10" s="17"/>
    </row>
    <row r="11" customFormat="false" ht="14.25" hidden="false" customHeight="false" outlineLevel="0" collapsed="false">
      <c r="A11" s="18" t="s">
        <v>12</v>
      </c>
      <c r="B11" s="18"/>
      <c r="C11" s="18"/>
      <c r="D11" s="18"/>
      <c r="E11" s="19"/>
      <c r="F11" s="20"/>
      <c r="G11" s="21"/>
      <c r="H11" s="22"/>
    </row>
    <row r="12" customFormat="false" ht="14.25" hidden="false" customHeight="true" outlineLevel="0" collapsed="false">
      <c r="A12" s="23" t="s">
        <v>13</v>
      </c>
      <c r="B12" s="23"/>
      <c r="C12" s="23"/>
      <c r="D12" s="23"/>
      <c r="E12" s="23"/>
      <c r="F12" s="23"/>
      <c r="G12" s="23"/>
      <c r="H12" s="23"/>
    </row>
    <row r="13" customFormat="false" ht="14.25" hidden="false" customHeight="false" outlineLevel="0" collapsed="false">
      <c r="A13" s="23"/>
      <c r="B13" s="23"/>
      <c r="C13" s="23"/>
      <c r="D13" s="23"/>
      <c r="E13" s="23"/>
      <c r="F13" s="23"/>
      <c r="G13" s="23"/>
      <c r="H13" s="23"/>
    </row>
    <row r="14" customFormat="false" ht="14.25" hidden="false" customHeight="false" outlineLevel="0" collapsed="false">
      <c r="A14" s="24" t="s">
        <v>14</v>
      </c>
      <c r="B14" s="24" t="s">
        <v>15</v>
      </c>
      <c r="C14" s="24" t="s">
        <v>16</v>
      </c>
      <c r="D14" s="24" t="s">
        <v>17</v>
      </c>
      <c r="E14" s="25" t="s">
        <v>18</v>
      </c>
      <c r="F14" s="25"/>
      <c r="G14" s="24" t="s">
        <v>19</v>
      </c>
      <c r="H14" s="26" t="s">
        <v>20</v>
      </c>
    </row>
    <row r="15" customFormat="false" ht="14.25" hidden="false" customHeight="false" outlineLevel="0" collapsed="false">
      <c r="A15" s="24"/>
      <c r="B15" s="24"/>
      <c r="C15" s="24"/>
      <c r="D15" s="24"/>
      <c r="E15" s="27"/>
      <c r="F15" s="28"/>
      <c r="G15" s="24"/>
      <c r="H15" s="29"/>
    </row>
    <row r="16" customFormat="false" ht="14.25" hidden="false" customHeight="false" outlineLevel="0" collapsed="false">
      <c r="A16" s="30" t="n">
        <v>1</v>
      </c>
      <c r="B16" s="30" t="s">
        <v>21</v>
      </c>
      <c r="C16" s="30" t="n">
        <v>9985</v>
      </c>
      <c r="D16" s="31" t="n">
        <v>12500</v>
      </c>
      <c r="E16" s="32" t="n">
        <v>156</v>
      </c>
      <c r="F16" s="32"/>
      <c r="G16" s="33" t="n">
        <v>5</v>
      </c>
      <c r="H16" s="34" t="n">
        <f aca="false">E16*(D16/30)</f>
        <v>65000</v>
      </c>
    </row>
    <row r="17" customFormat="false" ht="14.25" hidden="false" customHeight="false" outlineLevel="0" collapsed="false">
      <c r="A17" s="35"/>
      <c r="B17" s="35"/>
      <c r="C17" s="35"/>
      <c r="D17" s="36"/>
      <c r="E17" s="37"/>
      <c r="F17" s="37"/>
      <c r="G17" s="36"/>
      <c r="H17" s="38"/>
    </row>
    <row r="18" customFormat="false" ht="14.25" hidden="false" customHeight="false" outlineLevel="0" collapsed="false">
      <c r="A18" s="39"/>
      <c r="B18" s="39"/>
      <c r="C18" s="40"/>
      <c r="D18" s="41"/>
      <c r="E18" s="16"/>
      <c r="F18" s="17"/>
      <c r="G18" s="36"/>
      <c r="H18" s="38"/>
    </row>
    <row r="19" customFormat="false" ht="14.25" hidden="false" customHeight="false" outlineLevel="0" collapsed="false">
      <c r="A19" s="39"/>
      <c r="B19" s="39"/>
      <c r="C19" s="40"/>
      <c r="D19" s="36"/>
      <c r="E19" s="16" t="s">
        <v>22</v>
      </c>
      <c r="F19" s="17"/>
      <c r="G19" s="36"/>
      <c r="H19" s="38"/>
    </row>
    <row r="20" customFormat="false" ht="14.25" hidden="false" customHeight="false" outlineLevel="0" collapsed="false">
      <c r="A20" s="36"/>
      <c r="B20" s="36"/>
      <c r="C20" s="36"/>
      <c r="D20" s="36"/>
      <c r="E20" s="16"/>
      <c r="F20" s="17"/>
      <c r="G20" s="36"/>
      <c r="H20" s="17"/>
    </row>
    <row r="21" customFormat="false" ht="14.25" hidden="false" customHeight="false" outlineLevel="0" collapsed="false">
      <c r="A21" s="36"/>
      <c r="B21" s="36"/>
      <c r="C21" s="36"/>
      <c r="D21" s="36"/>
      <c r="E21" s="16"/>
      <c r="F21" s="17"/>
      <c r="G21" s="36"/>
      <c r="H21" s="17"/>
    </row>
    <row r="22" customFormat="false" ht="14.25" hidden="false" customHeight="false" outlineLevel="0" collapsed="false">
      <c r="A22" s="36"/>
      <c r="B22" s="36"/>
      <c r="C22" s="42"/>
      <c r="D22" s="43" t="s">
        <v>23</v>
      </c>
      <c r="E22" s="43"/>
      <c r="F22" s="43"/>
      <c r="G22" s="43"/>
      <c r="H22" s="44" t="n">
        <v>0</v>
      </c>
    </row>
    <row r="23" customFormat="false" ht="14.25" hidden="false" customHeight="false" outlineLevel="0" collapsed="false">
      <c r="A23" s="36"/>
      <c r="B23" s="36"/>
      <c r="C23" s="42"/>
      <c r="D23" s="45" t="s">
        <v>24</v>
      </c>
      <c r="E23" s="45"/>
      <c r="F23" s="45"/>
      <c r="G23" s="45"/>
      <c r="H23" s="44" t="n">
        <f aca="false">H16+H22</f>
        <v>65000</v>
      </c>
    </row>
    <row r="24" customFormat="false" ht="14.25" hidden="false" customHeight="false" outlineLevel="0" collapsed="false">
      <c r="A24" s="46"/>
      <c r="B24" s="46"/>
      <c r="C24" s="46"/>
      <c r="D24" s="43" t="s">
        <v>25</v>
      </c>
      <c r="E24" s="43"/>
      <c r="F24" s="43"/>
      <c r="G24" s="43"/>
      <c r="H24" s="44" t="n">
        <f aca="false">H23*15%</f>
        <v>9750</v>
      </c>
    </row>
    <row r="25" customFormat="false" ht="14.25" hidden="false" customHeight="false" outlineLevel="0" collapsed="false">
      <c r="A25" s="47" t="s">
        <v>26</v>
      </c>
      <c r="B25" s="47"/>
      <c r="C25" s="47"/>
      <c r="D25" s="48"/>
      <c r="E25" s="48"/>
      <c r="F25" s="48"/>
      <c r="G25" s="48"/>
      <c r="H25" s="49"/>
    </row>
    <row r="26" customFormat="false" ht="14.25" hidden="false" customHeight="false" outlineLevel="0" collapsed="false">
      <c r="A26" s="10" t="s">
        <v>27</v>
      </c>
      <c r="B26" s="10"/>
      <c r="C26" s="10"/>
      <c r="D26" s="50" t="s">
        <v>28</v>
      </c>
      <c r="E26" s="50"/>
      <c r="F26" s="50"/>
      <c r="G26" s="50"/>
      <c r="H26" s="51" t="n">
        <f aca="false">SUM(H23+H24)</f>
        <v>74750</v>
      </c>
    </row>
    <row r="27" customFormat="false" ht="14.25" hidden="false" customHeight="false" outlineLevel="0" collapsed="false">
      <c r="A27" s="52" t="s">
        <v>29</v>
      </c>
      <c r="B27" s="52"/>
      <c r="C27" s="52"/>
      <c r="D27" s="53"/>
      <c r="E27" s="53"/>
      <c r="F27" s="53"/>
      <c r="G27" s="53"/>
      <c r="H27" s="54"/>
    </row>
    <row r="28" customFormat="false" ht="14.25" hidden="false" customHeight="false" outlineLevel="0" collapsed="false">
      <c r="A28" s="52" t="s">
        <v>30</v>
      </c>
      <c r="B28" s="52"/>
      <c r="C28" s="52"/>
      <c r="D28" s="55" t="s">
        <v>31</v>
      </c>
      <c r="E28" s="55"/>
      <c r="F28" s="55"/>
      <c r="G28" s="55"/>
      <c r="H28" s="56" t="n">
        <f aca="false">H26*9%</f>
        <v>6727.5</v>
      </c>
    </row>
    <row r="29" customFormat="false" ht="13.5" hidden="false" customHeight="true" outlineLevel="0" collapsed="false">
      <c r="A29" s="47" t="s">
        <v>32</v>
      </c>
      <c r="B29" s="47"/>
      <c r="C29" s="47"/>
      <c r="D29" s="55" t="s">
        <v>33</v>
      </c>
      <c r="E29" s="55"/>
      <c r="F29" s="55"/>
      <c r="G29" s="55"/>
      <c r="H29" s="31" t="n">
        <f aca="false">H26*9%</f>
        <v>6727.5</v>
      </c>
    </row>
    <row r="30" customFormat="false" ht="10.5" hidden="false" customHeight="true" outlineLevel="0" collapsed="false">
      <c r="A30" s="47"/>
      <c r="B30" s="47"/>
      <c r="C30" s="47"/>
      <c r="H30" s="36"/>
    </row>
    <row r="31" customFormat="false" ht="14.25" hidden="false" customHeight="false" outlineLevel="0" collapsed="false">
      <c r="A31" s="52" t="s">
        <v>34</v>
      </c>
      <c r="B31" s="52"/>
      <c r="C31" s="52"/>
      <c r="D31" s="57"/>
      <c r="E31" s="57"/>
      <c r="F31" s="57"/>
      <c r="G31" s="57"/>
      <c r="H31" s="41"/>
    </row>
    <row r="32" customFormat="false" ht="14.25" hidden="false" customHeight="false" outlineLevel="0" collapsed="false">
      <c r="A32" s="58"/>
      <c r="B32" s="58"/>
      <c r="C32" s="58"/>
      <c r="D32" s="59" t="s">
        <v>35</v>
      </c>
      <c r="E32" s="59"/>
      <c r="F32" s="59"/>
      <c r="G32" s="59"/>
      <c r="H32" s="60" t="n">
        <f aca="false">SUM(H26+H28+H29)</f>
        <v>88205</v>
      </c>
    </row>
    <row r="33" customFormat="false" ht="15" hidden="false" customHeight="true" outlineLevel="0" collapsed="false">
      <c r="A33" s="58" t="s">
        <v>36</v>
      </c>
      <c r="B33" s="58"/>
      <c r="C33" s="58"/>
      <c r="D33" s="61" t="s">
        <v>37</v>
      </c>
      <c r="E33" s="61"/>
      <c r="F33" s="61"/>
      <c r="G33" s="61"/>
      <c r="H33" s="62" t="n">
        <v>0</v>
      </c>
    </row>
    <row r="34" customFormat="false" ht="14.25" hidden="false" customHeight="false" outlineLevel="0" collapsed="false">
      <c r="A34" s="63"/>
      <c r="B34" s="64"/>
      <c r="C34" s="65"/>
      <c r="D34" s="66" t="s">
        <v>38</v>
      </c>
      <c r="E34" s="66"/>
      <c r="F34" s="66"/>
      <c r="G34" s="66"/>
      <c r="H34" s="56" t="n">
        <f aca="false">H32-H33</f>
        <v>88205</v>
      </c>
    </row>
    <row r="35" customFormat="false" ht="14.25" hidden="false" customHeight="true" outlineLevel="0" collapsed="false">
      <c r="A35" s="23" t="s">
        <v>39</v>
      </c>
      <c r="B35" s="23"/>
      <c r="C35" s="23"/>
      <c r="D35" s="67" t="s">
        <v>40</v>
      </c>
      <c r="E35" s="67"/>
      <c r="F35" s="67"/>
      <c r="G35" s="67"/>
      <c r="H35" s="67"/>
    </row>
    <row r="36" customFormat="false" ht="14.25" hidden="false" customHeight="false" outlineLevel="0" collapsed="false">
      <c r="A36" s="23"/>
      <c r="B36" s="23"/>
      <c r="C36" s="23"/>
      <c r="D36" s="67"/>
      <c r="E36" s="67"/>
      <c r="F36" s="67"/>
      <c r="G36" s="67"/>
      <c r="H36" s="67"/>
    </row>
    <row r="37" customFormat="false" ht="14.25" hidden="false" customHeight="false" outlineLevel="0" collapsed="false">
      <c r="A37" s="23"/>
      <c r="B37" s="23"/>
      <c r="C37" s="23"/>
      <c r="D37" s="67"/>
      <c r="E37" s="67"/>
      <c r="F37" s="67"/>
      <c r="G37" s="67"/>
      <c r="H37" s="67"/>
    </row>
    <row r="38" customFormat="false" ht="14.25" hidden="false" customHeight="false" outlineLevel="0" collapsed="false">
      <c r="A38" s="23"/>
      <c r="B38" s="23"/>
      <c r="C38" s="23"/>
      <c r="D38" s="67"/>
      <c r="E38" s="67"/>
      <c r="F38" s="67"/>
      <c r="G38" s="67"/>
      <c r="H38" s="67"/>
    </row>
    <row r="39" customFormat="false" ht="14.25" hidden="false" customHeight="false" outlineLevel="0" collapsed="false">
      <c r="A39" s="23"/>
      <c r="B39" s="23"/>
      <c r="C39" s="23"/>
      <c r="D39" s="67"/>
      <c r="E39" s="67"/>
      <c r="F39" s="67"/>
      <c r="G39" s="67"/>
      <c r="H39" s="67"/>
    </row>
  </sheetData>
  <mergeCells count="50">
    <mergeCell ref="A1:E1"/>
    <mergeCell ref="F1:H1"/>
    <mergeCell ref="A2:E2"/>
    <mergeCell ref="F2:H2"/>
    <mergeCell ref="A3:E3"/>
    <mergeCell ref="F3:H3"/>
    <mergeCell ref="A4:E4"/>
    <mergeCell ref="F4:H4"/>
    <mergeCell ref="A5:E5"/>
    <mergeCell ref="F5:H5"/>
    <mergeCell ref="A6:E6"/>
    <mergeCell ref="A7:E7"/>
    <mergeCell ref="F7:H7"/>
    <mergeCell ref="A8:D8"/>
    <mergeCell ref="A9:E9"/>
    <mergeCell ref="A11:D11"/>
    <mergeCell ref="A12:H13"/>
    <mergeCell ref="A14:A15"/>
    <mergeCell ref="B14:B15"/>
    <mergeCell ref="C14:C15"/>
    <mergeCell ref="D14:D15"/>
    <mergeCell ref="E14:F14"/>
    <mergeCell ref="G14:G15"/>
    <mergeCell ref="E16:F16"/>
    <mergeCell ref="E17:F17"/>
    <mergeCell ref="A18:A19"/>
    <mergeCell ref="B18:B19"/>
    <mergeCell ref="C18:C19"/>
    <mergeCell ref="D22:G22"/>
    <mergeCell ref="D23:G23"/>
    <mergeCell ref="D24:G24"/>
    <mergeCell ref="A25:C25"/>
    <mergeCell ref="D25:G25"/>
    <mergeCell ref="A26:C26"/>
    <mergeCell ref="D26:G26"/>
    <mergeCell ref="A27:C27"/>
    <mergeCell ref="D27:G27"/>
    <mergeCell ref="A28:C28"/>
    <mergeCell ref="D28:G28"/>
    <mergeCell ref="A29:C30"/>
    <mergeCell ref="D29:G29"/>
    <mergeCell ref="A31:C31"/>
    <mergeCell ref="D31:G31"/>
    <mergeCell ref="A32:C32"/>
    <mergeCell ref="D32:G32"/>
    <mergeCell ref="A33:C33"/>
    <mergeCell ref="D33:G33"/>
    <mergeCell ref="D34:G34"/>
    <mergeCell ref="A35:C39"/>
    <mergeCell ref="D35:H3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2026-01-11T15:51:16Z</dcterms:created>
  <dc:creator/>
  <dc:description/>
  <dc:language>en-IN</dc:language>
  <cp:lastModifiedBy/>
  <dcterms:modified xsi:type="dcterms:W3CDTF">2026-01-11T15:51:43Z</dcterms:modified>
  <cp:revision>1</cp:revision>
  <dc:subject/>
  <dc:title/>
</cp:coreProperties>
</file>