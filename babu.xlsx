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9D7C462-5D61-44AB-89E5-2B5351BE92B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K OCT-25" sheetId="4" r:id="rId1"/>
    <sheet name="KEY OCT-25 (2)" sheetId="7" r:id="rId2"/>
    <sheet name="NOV-25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9" i="7" l="1"/>
  <c r="AL9" i="7" s="1"/>
  <c r="AJ7" i="7"/>
  <c r="AL7" i="7" s="1"/>
  <c r="AA15" i="7"/>
  <c r="AI11" i="7"/>
  <c r="AH11" i="7"/>
  <c r="AG11" i="7"/>
  <c r="AG12" i="7" s="1"/>
  <c r="AF11" i="7"/>
  <c r="AE11" i="7"/>
  <c r="AD11" i="7"/>
  <c r="AC11" i="7"/>
  <c r="AB11" i="7"/>
  <c r="AA11" i="7"/>
  <c r="Z11" i="7"/>
  <c r="Z12" i="7" s="1"/>
  <c r="Y11" i="7"/>
  <c r="X11" i="7"/>
  <c r="W11" i="7"/>
  <c r="V11" i="7"/>
  <c r="U11" i="7"/>
  <c r="T11" i="7"/>
  <c r="S11" i="7"/>
  <c r="S12" i="7" s="1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AK10" i="7"/>
  <c r="AJ10" i="7"/>
  <c r="AL10" i="7" s="1"/>
  <c r="AK9" i="7"/>
  <c r="AK8" i="7"/>
  <c r="AJ8" i="7"/>
  <c r="AL8" i="7" s="1"/>
  <c r="AK7" i="7"/>
  <c r="F18" i="4"/>
  <c r="AA22" i="6"/>
  <c r="AJ17" i="6"/>
  <c r="AI17" i="6"/>
  <c r="AI18" i="6" s="1"/>
  <c r="AH17" i="6"/>
  <c r="AH18" i="6" s="1"/>
  <c r="AG17" i="6"/>
  <c r="AF17" i="6"/>
  <c r="AE17" i="6"/>
  <c r="AD17" i="6"/>
  <c r="AC17" i="6"/>
  <c r="AB17" i="6"/>
  <c r="AA17" i="6"/>
  <c r="AA18" i="6" s="1"/>
  <c r="Z17" i="6"/>
  <c r="Z18" i="6" s="1"/>
  <c r="Y17" i="6"/>
  <c r="X17" i="6"/>
  <c r="W17" i="6"/>
  <c r="V17" i="6"/>
  <c r="U17" i="6"/>
  <c r="T17" i="6"/>
  <c r="S17" i="6"/>
  <c r="R17" i="6"/>
  <c r="R18" i="6" s="1"/>
  <c r="Q17" i="6"/>
  <c r="P17" i="6"/>
  <c r="O17" i="6"/>
  <c r="N17" i="6"/>
  <c r="M17" i="6"/>
  <c r="L17" i="6"/>
  <c r="K17" i="6"/>
  <c r="J17" i="6"/>
  <c r="I17" i="6"/>
  <c r="H17" i="6"/>
  <c r="G17" i="6"/>
  <c r="F17" i="6"/>
  <c r="AJ16" i="6"/>
  <c r="AI16" i="6"/>
  <c r="AH16" i="6"/>
  <c r="AG16" i="6"/>
  <c r="AF16" i="6"/>
  <c r="AE16" i="6"/>
  <c r="AD16" i="6"/>
  <c r="AC16" i="6"/>
  <c r="AC18" i="6" s="1"/>
  <c r="AB16" i="6"/>
  <c r="AA16" i="6"/>
  <c r="Z16" i="6"/>
  <c r="Y16" i="6"/>
  <c r="X16" i="6"/>
  <c r="W16" i="6"/>
  <c r="V16" i="6"/>
  <c r="U16" i="6"/>
  <c r="U18" i="6" s="1"/>
  <c r="T16" i="6"/>
  <c r="S16" i="6"/>
  <c r="R16" i="6"/>
  <c r="Q16" i="6"/>
  <c r="P16" i="6"/>
  <c r="O16" i="6"/>
  <c r="N16" i="6"/>
  <c r="M16" i="6"/>
  <c r="M18" i="6" s="1"/>
  <c r="L16" i="6"/>
  <c r="K16" i="6"/>
  <c r="J16" i="6"/>
  <c r="I16" i="6"/>
  <c r="H16" i="6"/>
  <c r="G16" i="6"/>
  <c r="F16" i="6"/>
  <c r="AM15" i="6"/>
  <c r="AL15" i="6"/>
  <c r="AK15" i="6"/>
  <c r="AL14" i="6"/>
  <c r="AK14" i="6"/>
  <c r="AL13" i="6"/>
  <c r="AK13" i="6"/>
  <c r="AM13" i="6" s="1"/>
  <c r="AL12" i="6"/>
  <c r="AK12" i="6"/>
  <c r="AL11" i="6"/>
  <c r="AK11" i="6"/>
  <c r="AM11" i="6" s="1"/>
  <c r="AL10" i="6"/>
  <c r="AK10" i="6"/>
  <c r="AL9" i="6"/>
  <c r="AK9" i="6"/>
  <c r="AM9" i="6" s="1"/>
  <c r="AL8" i="6"/>
  <c r="AK8" i="6"/>
  <c r="AM8" i="6" s="1"/>
  <c r="AL7" i="6"/>
  <c r="AK7" i="6"/>
  <c r="AM7" i="6" s="1"/>
  <c r="AL6" i="6"/>
  <c r="AK6" i="6"/>
  <c r="AM6" i="6" s="1"/>
  <c r="J12" i="7" l="1"/>
  <c r="AH12" i="7"/>
  <c r="AB12" i="7"/>
  <c r="T12" i="7"/>
  <c r="U12" i="7"/>
  <c r="AC12" i="7"/>
  <c r="L12" i="7"/>
  <c r="R12" i="7"/>
  <c r="M12" i="7"/>
  <c r="AJ11" i="7"/>
  <c r="F12" i="7"/>
  <c r="V12" i="7"/>
  <c r="G12" i="7"/>
  <c r="O12" i="7"/>
  <c r="W12" i="7"/>
  <c r="AE12" i="7"/>
  <c r="H12" i="7"/>
  <c r="P12" i="7"/>
  <c r="X12" i="7"/>
  <c r="AF12" i="7"/>
  <c r="I12" i="7"/>
  <c r="Q12" i="7"/>
  <c r="Y12" i="7"/>
  <c r="K12" i="7"/>
  <c r="AA12" i="7"/>
  <c r="AI12" i="7"/>
  <c r="N12" i="7"/>
  <c r="AD12" i="7"/>
  <c r="AM9" i="7"/>
  <c r="AM7" i="7"/>
  <c r="AB18" i="6"/>
  <c r="K18" i="6"/>
  <c r="S18" i="6"/>
  <c r="F18" i="6"/>
  <c r="AD18" i="6"/>
  <c r="O18" i="6"/>
  <c r="AF18" i="6"/>
  <c r="AK17" i="6"/>
  <c r="V18" i="6"/>
  <c r="G18" i="6"/>
  <c r="AE18" i="6"/>
  <c r="X18" i="6"/>
  <c r="Q18" i="6"/>
  <c r="AG18" i="6"/>
  <c r="AL16" i="6"/>
  <c r="AJ18" i="6"/>
  <c r="N18" i="6"/>
  <c r="W18" i="6"/>
  <c r="H18" i="6"/>
  <c r="P18" i="6"/>
  <c r="I18" i="6"/>
  <c r="Y18" i="6"/>
  <c r="L18" i="6"/>
  <c r="T18" i="6"/>
  <c r="AN6" i="6"/>
  <c r="AN8" i="6"/>
  <c r="AK16" i="6"/>
  <c r="AM16" i="6"/>
  <c r="AM14" i="6"/>
  <c r="AN14" i="6" s="1"/>
  <c r="AM12" i="6"/>
  <c r="AN12" i="6" s="1"/>
  <c r="J18" i="6"/>
  <c r="AM10" i="6"/>
  <c r="AN10" i="6" s="1"/>
  <c r="AA14" i="7" l="1"/>
  <c r="AA16" i="7" s="1"/>
  <c r="AJ12" i="7"/>
  <c r="AK18" i="6"/>
  <c r="AN16" i="6"/>
  <c r="AA21" i="6"/>
  <c r="AA17" i="7" l="1"/>
  <c r="AA24" i="6"/>
  <c r="AA23" i="6"/>
  <c r="AL14" i="4" l="1"/>
  <c r="AK14" i="4"/>
  <c r="AL12" i="4"/>
  <c r="AK12" i="4"/>
  <c r="AL10" i="4"/>
  <c r="AK10" i="4"/>
  <c r="AL8" i="4"/>
  <c r="AK8" i="4"/>
  <c r="AA22" i="4"/>
  <c r="AM14" i="4" l="1"/>
  <c r="AM12" i="4"/>
  <c r="AM10" i="4"/>
  <c r="AM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AJ17" i="4"/>
  <c r="AI17" i="4"/>
  <c r="AH17" i="4"/>
  <c r="AG17" i="4"/>
  <c r="AF17" i="4"/>
  <c r="AF19" i="4" s="1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P19" i="4" s="1"/>
  <c r="O17" i="4"/>
  <c r="N17" i="4"/>
  <c r="M17" i="4"/>
  <c r="L17" i="4"/>
  <c r="K17" i="4"/>
  <c r="J17" i="4"/>
  <c r="I17" i="4"/>
  <c r="H17" i="4"/>
  <c r="H19" i="4" s="1"/>
  <c r="G17" i="4"/>
  <c r="F17" i="4"/>
  <c r="F19" i="4" s="1"/>
  <c r="AL16" i="4"/>
  <c r="AK16" i="4"/>
  <c r="AL15" i="4"/>
  <c r="AK15" i="4"/>
  <c r="AL13" i="4"/>
  <c r="AK13" i="4"/>
  <c r="AM13" i="4" s="1"/>
  <c r="AL11" i="4"/>
  <c r="AK11" i="4"/>
  <c r="AM11" i="4" s="1"/>
  <c r="AL9" i="4"/>
  <c r="AK9" i="4"/>
  <c r="AL7" i="4"/>
  <c r="AK7" i="4"/>
  <c r="AK17" i="4" l="1"/>
  <c r="V19" i="4"/>
  <c r="AD19" i="4"/>
  <c r="I19" i="4"/>
  <c r="AG19" i="4"/>
  <c r="Z19" i="4"/>
  <c r="AI19" i="4"/>
  <c r="AJ19" i="4"/>
  <c r="U19" i="4"/>
  <c r="AM7" i="4"/>
  <c r="S19" i="4"/>
  <c r="N19" i="4"/>
  <c r="AH19" i="4"/>
  <c r="M19" i="4"/>
  <c r="AC19" i="4"/>
  <c r="G19" i="4"/>
  <c r="O19" i="4"/>
  <c r="W19" i="4"/>
  <c r="AE19" i="4"/>
  <c r="R19" i="4"/>
  <c r="K19" i="4"/>
  <c r="AM15" i="4"/>
  <c r="T19" i="4"/>
  <c r="AB19" i="4"/>
  <c r="AN13" i="4"/>
  <c r="L19" i="4"/>
  <c r="AN11" i="4"/>
  <c r="Y19" i="4"/>
  <c r="AA19" i="4"/>
  <c r="X19" i="4"/>
  <c r="Q19" i="4"/>
  <c r="J19" i="4"/>
  <c r="AM16" i="4"/>
  <c r="AM9" i="4"/>
  <c r="AN9" i="4" s="1"/>
  <c r="AL17" i="4"/>
  <c r="AK18" i="4"/>
  <c r="AN7" i="4" l="1"/>
  <c r="AM17" i="4"/>
  <c r="AN15" i="4"/>
  <c r="AA21" i="4" s="1"/>
  <c r="AK19" i="4"/>
  <c r="AN17" i="4" l="1"/>
  <c r="AA24" i="4"/>
  <c r="AA23" i="4"/>
</calcChain>
</file>

<file path=xl/sharedStrings.xml><?xml version="1.0" encoding="utf-8"?>
<sst xmlns="http://schemas.openxmlformats.org/spreadsheetml/2006/main" count="408" uniqueCount="48">
  <si>
    <t>SR</t>
  </si>
  <si>
    <t>W/O</t>
  </si>
  <si>
    <t>Wednesday</t>
  </si>
  <si>
    <t>Thursday</t>
  </si>
  <si>
    <t>Friday</t>
  </si>
  <si>
    <t>Saturday</t>
  </si>
  <si>
    <t>Sunday</t>
  </si>
  <si>
    <t>Monday</t>
  </si>
  <si>
    <t>Tuesday</t>
  </si>
  <si>
    <t>P</t>
  </si>
  <si>
    <t>WEEKLY OFF</t>
  </si>
  <si>
    <t>TOTAL DAYS</t>
  </si>
  <si>
    <t>Employee Name</t>
  </si>
  <si>
    <t>Biometric Code</t>
  </si>
  <si>
    <t>TOTAL STRENGTH</t>
  </si>
  <si>
    <t>Weekly Off</t>
  </si>
  <si>
    <t>A</t>
  </si>
  <si>
    <t>PRESENT STRENGTH</t>
  </si>
  <si>
    <t>ROASTER FOR THE MONTH OF DEC - 2025</t>
  </si>
  <si>
    <t>TOTAL PRESENT DAYS</t>
  </si>
  <si>
    <t>AMBE SERVICE FACILITY PVT. LTD.</t>
  </si>
  <si>
    <t>GOOD DAY</t>
  </si>
  <si>
    <t>SUNDAY</t>
  </si>
  <si>
    <t>HD</t>
  </si>
  <si>
    <t>N/J</t>
  </si>
  <si>
    <t>NEW JOINING</t>
  </si>
  <si>
    <t>H/F</t>
  </si>
  <si>
    <t>IN BIOMETRIC MISSING</t>
  </si>
  <si>
    <t>JANITORS</t>
  </si>
  <si>
    <t>OUT BIOMETRIC MISSING</t>
  </si>
  <si>
    <t>IN &amp; OUT BIOMETRIC MISSING</t>
  </si>
  <si>
    <t>Monthly Approved Manpower</t>
  </si>
  <si>
    <t>Monthly %</t>
  </si>
  <si>
    <r>
      <rPr>
        <b/>
        <sz val="10"/>
        <color rgb="FFFF0000"/>
        <rFont val="Arial Black"/>
        <family val="2"/>
      </rPr>
      <t>(Excess)</t>
    </r>
    <r>
      <rPr>
        <b/>
        <sz val="10"/>
        <color theme="1"/>
        <rFont val="Arial Black"/>
        <family val="2"/>
      </rPr>
      <t>/Shortage Manpower</t>
    </r>
  </si>
  <si>
    <t>BALA RAM</t>
  </si>
  <si>
    <t>VINOD PAWAR</t>
  </si>
  <si>
    <t>PRAVIN DANDVATE</t>
  </si>
  <si>
    <t>KARTHIK ARUNDHUTI</t>
  </si>
  <si>
    <t>VIJAY ANNADURAI</t>
  </si>
  <si>
    <t>X</t>
  </si>
  <si>
    <t>DASERAH + DIWALI</t>
  </si>
  <si>
    <t>ATTENDANCE FOR THE MONTH OF NOV - 2025</t>
  </si>
  <si>
    <t>SITE - AJMERA MANHATTAN, BHAKTI PARK, WADALA (E)</t>
  </si>
  <si>
    <r>
      <rPr>
        <b/>
        <sz val="14"/>
        <color rgb="FFFF0000"/>
        <rFont val="Arial Black"/>
        <family val="2"/>
      </rPr>
      <t>(Excess)</t>
    </r>
    <r>
      <rPr>
        <b/>
        <sz val="14"/>
        <color theme="1"/>
        <rFont val="Arial Black"/>
        <family val="2"/>
      </rPr>
      <t>/Shortage Manpower</t>
    </r>
  </si>
  <si>
    <t>MOHIT YADAV</t>
  </si>
  <si>
    <t>ABHISHEK KUMAR</t>
  </si>
  <si>
    <t>KEYMAN</t>
  </si>
  <si>
    <t>KEY MAN - ATTENDANCE FOR THE MONTH OF SEPTEMBER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</si>
</sst>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DLaM Display"/>
    </font>
    <font>
      <b/>
      <sz val="11"/>
      <color theme="1"/>
      <name val="ADLaM Display"/>
    </font>
    <font>
      <b/>
      <sz val="12"/>
      <color theme="1"/>
      <name val="ADLaM Display"/>
    </font>
    <font>
      <sz val="10"/>
      <color rgb="FF000000"/>
      <name val="ADLaM Display"/>
    </font>
    <font>
      <sz val="18"/>
      <color theme="1"/>
      <name val="ADLaM Display"/>
    </font>
    <font>
      <sz val="12"/>
      <color theme="1"/>
      <name val="ADLaM Display"/>
    </font>
    <font>
      <sz val="26"/>
      <color theme="1"/>
      <name val="ADLaM Display"/>
    </font>
    <font>
      <sz val="10"/>
      <name val="Leelawadee"/>
      <family val="2"/>
    </font>
    <font>
      <b/>
      <sz val="10"/>
      <color rgb="FF000000"/>
      <name val="Arial Black"/>
      <family val="2"/>
    </font>
    <font>
      <b/>
      <sz val="10"/>
      <name val="Arial Black"/>
      <family val="2"/>
    </font>
    <font>
      <sz val="10"/>
      <name val="Arial Black"/>
      <family val="2"/>
    </font>
    <font>
      <b/>
      <sz val="10"/>
      <color theme="1"/>
      <name val="Arial Black"/>
      <family val="2"/>
    </font>
    <font>
      <b/>
      <sz val="10"/>
      <name val="Arial"/>
      <family val="2"/>
    </font>
    <font>
      <b/>
      <sz val="10"/>
      <color rgb="FF00B050"/>
      <name val="Arial Black"/>
      <family val="2"/>
    </font>
    <font>
      <b/>
      <sz val="10"/>
      <color rgb="FFFF0000"/>
      <name val="Arial Black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name val="Leelawadee"/>
      <family val="2"/>
    </font>
    <font>
      <b/>
      <sz val="15"/>
      <color theme="1"/>
      <name val="Arial Black"/>
      <family val="2"/>
    </font>
    <font>
      <b/>
      <sz val="14"/>
      <color theme="1"/>
      <name val="Arial Black"/>
      <family val="2"/>
    </font>
    <font>
      <b/>
      <sz val="14"/>
      <name val="Arial Black"/>
      <family val="2"/>
    </font>
    <font>
      <b/>
      <sz val="14"/>
      <color rgb="FFFF0000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darkUp">
        <bgColor theme="9" tint="0.39997558519241921"/>
      </patternFill>
    </fill>
    <fill>
      <patternFill patternType="darkDown"/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rgb="FF505050"/>
      </right>
      <top style="medium">
        <color indexed="64"/>
      </top>
      <bottom/>
      <diagonal/>
    </border>
    <border>
      <left style="thin">
        <color rgb="FF50505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505050"/>
      </top>
      <bottom style="thin">
        <color rgb="FF505050"/>
      </bottom>
      <diagonal/>
    </border>
    <border>
      <left style="medium">
        <color indexed="64"/>
      </left>
      <right/>
      <top style="thin">
        <color rgb="FF505050"/>
      </top>
      <bottom style="medium">
        <color indexed="64"/>
      </bottom>
      <diagonal/>
    </border>
    <border>
      <left/>
      <right/>
      <top style="thin">
        <color rgb="FF50505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505050"/>
      </right>
      <top/>
      <bottom/>
      <diagonal/>
    </border>
    <border>
      <left style="thin">
        <color rgb="FF505050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 style="thin">
        <color rgb="FF50505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505050"/>
      </bottom>
      <diagonal/>
    </border>
    <border>
      <left style="medium">
        <color indexed="64"/>
      </left>
      <right style="thin">
        <color indexed="64"/>
      </right>
      <top/>
      <bottom style="thin">
        <color rgb="FF50505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3">
    <xf numFmtId="0" fontId="0" fillId="0" borderId="0" xfId="0"/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horizontal="center" vertical="center"/>
    </xf>
    <xf numFmtId="164" fontId="3" fillId="0" borderId="7" xfId="1" applyFont="1" applyFill="1" applyBorder="1" applyAlignment="1">
      <alignment vertical="center"/>
    </xf>
    <xf numFmtId="164" fontId="3" fillId="0" borderId="8" xfId="1" applyFont="1" applyFill="1" applyBorder="1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4" fontId="3" fillId="0" borderId="0" xfId="1" applyFont="1" applyFill="1" applyAlignment="1">
      <alignment vertical="center"/>
    </xf>
    <xf numFmtId="164" fontId="8" fillId="0" borderId="1" xfId="1" applyFont="1" applyFill="1" applyBorder="1" applyAlignment="1">
      <alignment vertical="center" wrapText="1"/>
    </xf>
    <xf numFmtId="164" fontId="8" fillId="0" borderId="12" xfId="1" applyFont="1" applyFill="1" applyBorder="1" applyAlignment="1">
      <alignment vertical="center" wrapText="1"/>
    </xf>
    <xf numFmtId="0" fontId="3" fillId="0" borderId="20" xfId="0" applyFont="1" applyBorder="1" applyAlignment="1">
      <alignment horizontal="center" vertical="center" textRotation="90" wrapText="1"/>
    </xf>
    <xf numFmtId="164" fontId="3" fillId="0" borderId="20" xfId="1" applyFont="1" applyFill="1" applyBorder="1" applyAlignment="1">
      <alignment horizontal="center" vertical="center" textRotation="90"/>
    </xf>
    <xf numFmtId="164" fontId="3" fillId="0" borderId="21" xfId="1" applyFont="1" applyFill="1" applyBorder="1" applyAlignment="1">
      <alignment horizontal="center" vertical="center" textRotation="90"/>
    </xf>
    <xf numFmtId="164" fontId="3" fillId="0" borderId="19" xfId="1" applyFont="1" applyFill="1" applyBorder="1" applyAlignment="1">
      <alignment horizontal="center" vertical="center"/>
    </xf>
    <xf numFmtId="164" fontId="3" fillId="0" borderId="22" xfId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textRotation="90"/>
    </xf>
    <xf numFmtId="0" fontId="3" fillId="3" borderId="20" xfId="0" applyFont="1" applyFill="1" applyBorder="1" applyAlignment="1">
      <alignment horizontal="center" vertical="center" textRotation="90"/>
    </xf>
    <xf numFmtId="0" fontId="3" fillId="3" borderId="7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164" fontId="3" fillId="0" borderId="31" xfId="1" applyFont="1" applyFill="1" applyBorder="1" applyAlignment="1">
      <alignment vertical="center"/>
    </xf>
    <xf numFmtId="164" fontId="3" fillId="0" borderId="3" xfId="1" applyFont="1" applyFill="1" applyBorder="1" applyAlignment="1">
      <alignment horizontal="center" vertical="center" textRotation="90"/>
    </xf>
    <xf numFmtId="164" fontId="3" fillId="0" borderId="6" xfId="1" applyFont="1" applyFill="1" applyBorder="1" applyAlignment="1">
      <alignment vertical="center"/>
    </xf>
    <xf numFmtId="164" fontId="3" fillId="0" borderId="19" xfId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1" fillId="1" borderId="30" xfId="0" applyFont="1" applyFill="1" applyBorder="1" applyAlignment="1">
      <alignment horizontal="center" vertical="center" wrapText="1" readingOrder="1"/>
    </xf>
    <xf numFmtId="0" fontId="13" fillId="0" borderId="0" xfId="0" applyFont="1" applyAlignment="1">
      <alignment horizontal="center" vertical="center" readingOrder="1"/>
    </xf>
    <xf numFmtId="2" fontId="14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43" fontId="15" fillId="0" borderId="0" xfId="0" applyNumberFormat="1" applyFont="1" applyAlignment="1">
      <alignment vertical="center"/>
    </xf>
    <xf numFmtId="0" fontId="11" fillId="4" borderId="30" xfId="0" applyFont="1" applyFill="1" applyBorder="1" applyAlignment="1">
      <alignment horizontal="center" vertical="center" wrapText="1" readingOrder="1"/>
    </xf>
    <xf numFmtId="0" fontId="11" fillId="5" borderId="30" xfId="0" applyFont="1" applyFill="1" applyBorder="1" applyAlignment="1">
      <alignment horizontal="center" vertical="center" wrapText="1" readingOrder="1"/>
    </xf>
    <xf numFmtId="2" fontId="14" fillId="0" borderId="0" xfId="1" applyNumberFormat="1" applyFont="1" applyFill="1" applyBorder="1" applyAlignment="1">
      <alignment vertical="center"/>
    </xf>
    <xf numFmtId="2" fontId="16" fillId="0" borderId="0" xfId="1" applyNumberFormat="1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9" fillId="0" borderId="30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2" fontId="14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indent="5" readingOrder="1"/>
    </xf>
    <xf numFmtId="0" fontId="20" fillId="0" borderId="0" xfId="0" applyFont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64" fontId="3" fillId="0" borderId="12" xfId="1" applyFont="1" applyFill="1" applyBorder="1" applyAlignment="1">
      <alignment vertical="center"/>
    </xf>
    <xf numFmtId="0" fontId="3" fillId="3" borderId="35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164" fontId="3" fillId="0" borderId="20" xfId="1" applyFont="1" applyFill="1" applyBorder="1" applyAlignment="1">
      <alignment vertical="center"/>
    </xf>
    <xf numFmtId="0" fontId="13" fillId="6" borderId="30" xfId="0" applyFont="1" applyFill="1" applyBorder="1" applyAlignment="1">
      <alignment horizontal="center" vertical="center" readingOrder="1"/>
    </xf>
    <xf numFmtId="0" fontId="23" fillId="0" borderId="35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164" fontId="8" fillId="0" borderId="3" xfId="1" applyFont="1" applyFill="1" applyBorder="1" applyAlignment="1">
      <alignment horizontal="center" vertical="center" wrapText="1"/>
    </xf>
    <xf numFmtId="164" fontId="8" fillId="0" borderId="32" xfId="1" applyFont="1" applyFill="1" applyBorder="1" applyAlignment="1">
      <alignment horizontal="center" vertical="center" wrapText="1"/>
    </xf>
    <xf numFmtId="164" fontId="8" fillId="0" borderId="15" xfId="1" applyFont="1" applyFill="1" applyBorder="1" applyAlignment="1">
      <alignment horizontal="center" vertical="center" wrapText="1"/>
    </xf>
    <xf numFmtId="164" fontId="8" fillId="0" borderId="16" xfId="1" applyFont="1" applyFill="1" applyBorder="1" applyAlignment="1">
      <alignment horizontal="center" vertical="center" wrapText="1"/>
    </xf>
    <xf numFmtId="164" fontId="8" fillId="0" borderId="13" xfId="1" applyFont="1" applyFill="1" applyBorder="1" applyAlignment="1">
      <alignment horizontal="center" vertical="center" wrapText="1"/>
    </xf>
    <xf numFmtId="164" fontId="8" fillId="0" borderId="14" xfId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textRotation="90"/>
    </xf>
    <xf numFmtId="0" fontId="4" fillId="0" borderId="25" xfId="0" applyFont="1" applyBorder="1" applyAlignment="1">
      <alignment horizontal="center" vertical="center" textRotation="90"/>
    </xf>
    <xf numFmtId="0" fontId="5" fillId="0" borderId="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6" fillId="0" borderId="6" xfId="0" quotePrefix="1" applyFont="1" applyBorder="1" applyAlignment="1">
      <alignment horizontal="center" vertical="center" wrapText="1" readingOrder="1"/>
    </xf>
    <xf numFmtId="0" fontId="6" fillId="0" borderId="35" xfId="0" quotePrefix="1" applyFont="1" applyBorder="1" applyAlignment="1">
      <alignment horizontal="center" vertical="center" wrapText="1" readingOrder="1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2" fillId="0" borderId="33" xfId="0" applyFont="1" applyBorder="1" applyAlignment="1">
      <alignment horizontal="left" vertical="center"/>
    </xf>
    <xf numFmtId="0" fontId="12" fillId="0" borderId="50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22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2" fontId="22" fillId="0" borderId="43" xfId="1" applyNumberFormat="1" applyFont="1" applyBorder="1" applyAlignment="1">
      <alignment vertical="center"/>
    </xf>
    <xf numFmtId="2" fontId="22" fillId="0" borderId="36" xfId="1" applyNumberFormat="1" applyFont="1" applyBorder="1" applyAlignment="1">
      <alignment vertical="center"/>
    </xf>
    <xf numFmtId="0" fontId="12" fillId="0" borderId="37" xfId="0" applyFont="1" applyBorder="1" applyAlignment="1">
      <alignment horizontal="left" vertical="center"/>
    </xf>
    <xf numFmtId="0" fontId="12" fillId="0" borderId="38" xfId="0" applyFont="1" applyBorder="1" applyAlignment="1">
      <alignment horizontal="left" vertical="center"/>
    </xf>
    <xf numFmtId="0" fontId="22" fillId="0" borderId="44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22" fillId="0" borderId="46" xfId="0" applyFont="1" applyBorder="1" applyAlignment="1">
      <alignment horizontal="center" vertical="center"/>
    </xf>
    <xf numFmtId="2" fontId="22" fillId="0" borderId="47" xfId="0" applyNumberFormat="1" applyFont="1" applyBorder="1" applyAlignment="1">
      <alignment vertical="center"/>
    </xf>
    <xf numFmtId="2" fontId="22" fillId="0" borderId="46" xfId="0" applyNumberFormat="1" applyFont="1" applyBorder="1" applyAlignment="1">
      <alignment vertical="center"/>
    </xf>
    <xf numFmtId="0" fontId="22" fillId="0" borderId="34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  <xf numFmtId="2" fontId="22" fillId="0" borderId="13" xfId="1" applyNumberFormat="1" applyFont="1" applyBorder="1" applyAlignment="1">
      <alignment vertical="center"/>
    </xf>
    <xf numFmtId="2" fontId="22" fillId="0" borderId="14" xfId="1" applyNumberFormat="1" applyFont="1" applyBorder="1" applyAlignment="1">
      <alignment vertical="center"/>
    </xf>
    <xf numFmtId="0" fontId="23" fillId="0" borderId="34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164" fontId="21" fillId="0" borderId="37" xfId="1" applyFont="1" applyFill="1" applyBorder="1" applyAlignment="1">
      <alignment horizontal="center" vertical="center"/>
    </xf>
    <xf numFmtId="164" fontId="21" fillId="0" borderId="38" xfId="1" applyFont="1" applyFill="1" applyBorder="1" applyAlignment="1">
      <alignment horizontal="center" vertical="center"/>
    </xf>
    <xf numFmtId="0" fontId="12" fillId="0" borderId="33" xfId="0" applyFont="1" applyBorder="1" applyAlignment="1">
      <alignment horizontal="left" vertical="center" readingOrder="1"/>
    </xf>
    <xf numFmtId="0" fontId="12" fillId="0" borderId="50" xfId="0" applyFont="1" applyBorder="1" applyAlignment="1">
      <alignment horizontal="left" vertical="center" readingOrder="1"/>
    </xf>
    <xf numFmtId="0" fontId="6" fillId="0" borderId="6" xfId="0" applyFont="1" applyBorder="1" applyAlignment="1">
      <alignment horizontal="center" vertical="center" wrapText="1" readingOrder="1"/>
    </xf>
    <xf numFmtId="0" fontId="6" fillId="0" borderId="35" xfId="0" applyFont="1" applyBorder="1" applyAlignment="1">
      <alignment horizontal="center" vertical="center" wrapText="1" readingOrder="1"/>
    </xf>
    <xf numFmtId="0" fontId="6" fillId="0" borderId="6" xfId="0" applyFont="1" applyBorder="1" applyAlignment="1">
      <alignment horizontal="left" vertical="center" wrapText="1" indent="1" readingOrder="1"/>
    </xf>
    <xf numFmtId="0" fontId="6" fillId="0" borderId="35" xfId="0" applyFont="1" applyBorder="1" applyAlignment="1">
      <alignment horizontal="left" vertical="center" wrapText="1" indent="1" readingOrder="1"/>
    </xf>
    <xf numFmtId="0" fontId="6" fillId="0" borderId="25" xfId="0" applyFont="1" applyBorder="1" applyAlignment="1">
      <alignment horizontal="left" vertical="center" wrapText="1" indent="1" readingOrder="1"/>
    </xf>
    <xf numFmtId="0" fontId="3" fillId="0" borderId="48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center" readingOrder="1"/>
    </xf>
    <xf numFmtId="0" fontId="12" fillId="0" borderId="24" xfId="0" applyFont="1" applyBorder="1" applyAlignment="1">
      <alignment horizontal="left" vertical="center" readingOrder="1"/>
    </xf>
    <xf numFmtId="0" fontId="3" fillId="0" borderId="6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4" fontId="3" fillId="0" borderId="40" xfId="1" applyFont="1" applyFill="1" applyBorder="1" applyAlignment="1">
      <alignment horizontal="center" vertical="center"/>
    </xf>
    <xf numFmtId="164" fontId="3" fillId="0" borderId="36" xfId="1" applyFont="1" applyFill="1" applyBorder="1" applyAlignment="1">
      <alignment horizontal="center" vertical="center"/>
    </xf>
    <xf numFmtId="164" fontId="3" fillId="0" borderId="42" xfId="1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 readingOrder="1"/>
    </xf>
    <xf numFmtId="0" fontId="14" fillId="0" borderId="4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2" fontId="14" fillId="0" borderId="47" xfId="0" applyNumberFormat="1" applyFont="1" applyBorder="1" applyAlignment="1">
      <alignment horizontal="right" vertical="center" indent="1"/>
    </xf>
    <xf numFmtId="2" fontId="14" fillId="0" borderId="46" xfId="0" applyNumberFormat="1" applyFont="1" applyBorder="1" applyAlignment="1">
      <alignment horizontal="right" vertical="center" indent="1"/>
    </xf>
    <xf numFmtId="0" fontId="14" fillId="0" borderId="34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2" fontId="14" fillId="0" borderId="43" xfId="1" applyNumberFormat="1" applyFont="1" applyBorder="1" applyAlignment="1">
      <alignment horizontal="right" vertical="center" indent="1"/>
    </xf>
    <xf numFmtId="2" fontId="14" fillId="0" borderId="36" xfId="1" applyNumberFormat="1" applyFont="1" applyBorder="1" applyAlignment="1">
      <alignment horizontal="right" vertical="center" indent="1"/>
    </xf>
    <xf numFmtId="0" fontId="14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2" fontId="14" fillId="0" borderId="13" xfId="1" applyNumberFormat="1" applyFont="1" applyBorder="1" applyAlignment="1">
      <alignment horizontal="right" vertical="center" indent="1"/>
    </xf>
    <xf numFmtId="2" fontId="14" fillId="0" borderId="14" xfId="1" applyNumberFormat="1" applyFont="1" applyBorder="1" applyAlignment="1">
      <alignment horizontal="right" vertical="center" indent="1"/>
    </xf>
    <xf numFmtId="0" fontId="12" fillId="0" borderId="34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3" fillId="7" borderId="20" xfId="0" applyFont="1" applyFill="1" applyBorder="1" applyAlignment="1">
      <alignment horizontal="center" vertical="center" textRotation="90"/>
    </xf>
    <xf numFmtId="0" fontId="3" fillId="7" borderId="7" xfId="0" applyFont="1" applyFill="1" applyBorder="1" applyAlignment="1">
      <alignment horizontal="center" vertical="center"/>
    </xf>
    <xf numFmtId="0" fontId="3" fillId="7" borderId="35" xfId="0" applyFont="1" applyFill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23" fillId="0" borderId="51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2" fontId="22" fillId="0" borderId="37" xfId="1" applyNumberFormat="1" applyFont="1" applyBorder="1" applyAlignment="1">
      <alignment vertical="center"/>
    </xf>
    <xf numFmtId="2" fontId="22" fillId="0" borderId="38" xfId="1" applyNumberFormat="1" applyFont="1" applyBorder="1" applyAlignment="1">
      <alignment vertical="center"/>
    </xf>
    <xf numFmtId="0" fontId="22" fillId="0" borderId="37" xfId="0" applyFont="1" applyBorder="1" applyAlignment="1">
      <alignment horizontal="center" vertical="center"/>
    </xf>
    <xf numFmtId="0" fontId="22" fillId="0" borderId="51" xfId="0" applyFont="1" applyBorder="1" applyAlignment="1">
      <alignment horizontal="center" vertical="center"/>
    </xf>
    <xf numFmtId="0" fontId="22" fillId="0" borderId="38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2" fontId="22" fillId="0" borderId="37" xfId="0" applyNumberFormat="1" applyFont="1" applyBorder="1" applyAlignment="1">
      <alignment vertical="center"/>
    </xf>
    <xf numFmtId="2" fontId="22" fillId="0" borderId="38" xfId="0" applyNumberFormat="1" applyFont="1" applyBorder="1" applyAlignment="1">
      <alignment vertical="center"/>
    </xf>
    <xf numFmtId="0" fontId="5" fillId="0" borderId="53" xfId="0" applyFont="1" applyBorder="1" applyAlignment="1">
      <alignment horizontal="center" vertical="center"/>
    </xf>
    <xf numFmtId="164" fontId="3" fillId="0" borderId="22" xfId="1" applyFont="1" applyFill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6" fillId="0" borderId="54" xfId="0" applyFont="1" applyBorder="1" applyAlignment="1">
      <alignment horizontal="left" vertical="center" wrapText="1" indent="1" readingOrder="1"/>
    </xf>
    <xf numFmtId="0" fontId="6" fillId="0" borderId="54" xfId="0" applyFont="1" applyBorder="1" applyAlignment="1">
      <alignment horizontal="center" vertical="center" wrapText="1" readingOrder="1"/>
    </xf>
    <xf numFmtId="0" fontId="3" fillId="0" borderId="55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textRotation="90"/>
    </xf>
    <xf numFmtId="0" fontId="5" fillId="0" borderId="6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b/>
        <i val="0"/>
        <color rgb="FF0000FF"/>
      </font>
      <fill>
        <patternFill>
          <bgColor theme="9" tint="0.59996337778862885"/>
        </patternFill>
      </fill>
    </dxf>
    <dxf>
      <font>
        <b/>
        <i val="0"/>
        <color rgb="FF0000FF"/>
      </font>
      <fill>
        <patternFill>
          <bgColor theme="0" tint="-0.24994659260841701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rgb="FF0033CC"/>
      </font>
      <fill>
        <patternFill>
          <bgColor rgb="FF92D05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00FF"/>
      </font>
      <fill>
        <patternFill>
          <bgColor theme="9" tint="0.59996337778862885"/>
        </patternFill>
      </fill>
    </dxf>
    <dxf>
      <font>
        <b/>
        <i val="0"/>
        <color rgb="FF0000FF"/>
      </font>
      <fill>
        <patternFill>
          <bgColor theme="0" tint="-0.24994659260841701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rgb="FF0033CC"/>
      </font>
      <fill>
        <patternFill>
          <bgColor rgb="FF92D05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00FF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rgb="FF0000FF"/>
      </font>
      <fill>
        <patternFill>
          <bgColor theme="0" tint="-0.24994659260841701"/>
        </patternFill>
      </fill>
    </dxf>
    <dxf>
      <font>
        <b/>
        <i val="0"/>
        <color rgb="FFFF0000"/>
      </font>
    </dxf>
    <dxf>
      <font>
        <b/>
        <i val="0"/>
        <color rgb="FF0033CC"/>
      </font>
      <fill>
        <patternFill>
          <bgColor rgb="FF92D05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169FE-8BE1-4AE0-998F-4586D4017396}">
  <sheetPr>
    <pageSetUpPr fitToPage="1"/>
  </sheetPr>
  <dimension ref="B1:AO30"/>
  <sheetViews>
    <sheetView topLeftCell="B13" zoomScaleNormal="100" zoomScaleSheetLayoutView="100" workbookViewId="0">
      <selection activeCell="AA24" sqref="AA24:AB24"/>
    </sheetView>
  </sheetViews>
  <sheetFormatPr defaultColWidth="9.140625" defaultRowHeight="50.1" customHeight="1" x14ac:dyDescent="0.25"/>
  <cols>
    <col min="1" max="1" width="3.85546875" style="1" customWidth="1"/>
    <col min="2" max="2" width="5.7109375" style="7" customWidth="1"/>
    <col min="3" max="3" width="7.7109375" style="1" customWidth="1"/>
    <col min="4" max="4" width="19" style="1" bestFit="1" customWidth="1"/>
    <col min="5" max="5" width="12.7109375" style="1" customWidth="1"/>
    <col min="6" max="33" width="6" style="7" bestFit="1" customWidth="1"/>
    <col min="34" max="35" width="6" style="7" customWidth="1"/>
    <col min="36" max="36" width="6" style="7" bestFit="1" customWidth="1"/>
    <col min="37" max="37" width="7.42578125" style="9" bestFit="1" customWidth="1"/>
    <col min="38" max="38" width="8.28515625" style="9" bestFit="1" customWidth="1"/>
    <col min="39" max="39" width="8.28515625" style="9" customWidth="1"/>
    <col min="40" max="40" width="8.28515625" style="9" bestFit="1" customWidth="1"/>
    <col min="41" max="41" width="3.85546875" style="1" customWidth="1"/>
    <col min="42" max="16384" width="9.140625" style="1"/>
  </cols>
  <sheetData>
    <row r="1" spans="2:40" ht="50.1" customHeight="1" thickBot="1" x14ac:dyDescent="0.3"/>
    <row r="2" spans="2:40" ht="50.1" customHeight="1" x14ac:dyDescent="0.25">
      <c r="B2" s="70" t="s">
        <v>20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2"/>
    </row>
    <row r="3" spans="2:40" ht="50.1" customHeight="1" thickBot="1" x14ac:dyDescent="0.3">
      <c r="B3" s="73" t="s">
        <v>42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5"/>
    </row>
    <row r="4" spans="2:40" ht="50.1" customHeight="1" thickBot="1" x14ac:dyDescent="0.3">
      <c r="B4" s="73" t="s">
        <v>41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5"/>
    </row>
    <row r="5" spans="2:40" ht="50.1" customHeight="1" x14ac:dyDescent="0.25">
      <c r="B5" s="76" t="s">
        <v>0</v>
      </c>
      <c r="C5" s="78" t="s">
        <v>13</v>
      </c>
      <c r="D5" s="80" t="s">
        <v>12</v>
      </c>
      <c r="E5" s="78" t="s">
        <v>15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7</v>
      </c>
      <c r="M5" s="2">
        <v>8</v>
      </c>
      <c r="N5" s="2">
        <v>9</v>
      </c>
      <c r="O5" s="2">
        <v>10</v>
      </c>
      <c r="P5" s="2">
        <v>11</v>
      </c>
      <c r="Q5" s="2">
        <v>12</v>
      </c>
      <c r="R5" s="2">
        <v>13</v>
      </c>
      <c r="S5" s="2">
        <v>14</v>
      </c>
      <c r="T5" s="2">
        <v>15</v>
      </c>
      <c r="U5" s="2">
        <v>16</v>
      </c>
      <c r="V5" s="2">
        <v>17</v>
      </c>
      <c r="W5" s="2">
        <v>18</v>
      </c>
      <c r="X5" s="2">
        <v>19</v>
      </c>
      <c r="Y5" s="2">
        <v>20</v>
      </c>
      <c r="Z5" s="2">
        <v>21</v>
      </c>
      <c r="AA5" s="2">
        <v>22</v>
      </c>
      <c r="AB5" s="2">
        <v>23</v>
      </c>
      <c r="AC5" s="2">
        <v>24</v>
      </c>
      <c r="AD5" s="2">
        <v>25</v>
      </c>
      <c r="AE5" s="2">
        <v>26</v>
      </c>
      <c r="AF5" s="2">
        <v>27</v>
      </c>
      <c r="AG5" s="2">
        <v>28</v>
      </c>
      <c r="AH5" s="2">
        <v>29</v>
      </c>
      <c r="AI5" s="2">
        <v>30</v>
      </c>
      <c r="AJ5" s="2">
        <v>31</v>
      </c>
      <c r="AK5" s="3"/>
      <c r="AL5" s="3"/>
      <c r="AM5" s="25"/>
      <c r="AN5" s="4"/>
    </row>
    <row r="6" spans="2:40" ht="78.75" thickBot="1" x14ac:dyDescent="0.3">
      <c r="B6" s="77"/>
      <c r="C6" s="79"/>
      <c r="D6" s="81"/>
      <c r="E6" s="79"/>
      <c r="F6" s="18" t="s">
        <v>2</v>
      </c>
      <c r="G6" s="18" t="s">
        <v>3</v>
      </c>
      <c r="H6" s="18" t="s">
        <v>4</v>
      </c>
      <c r="I6" s="18" t="s">
        <v>5</v>
      </c>
      <c r="J6" s="19" t="s">
        <v>6</v>
      </c>
      <c r="K6" s="18" t="s">
        <v>7</v>
      </c>
      <c r="L6" s="18" t="s">
        <v>8</v>
      </c>
      <c r="M6" s="18" t="s">
        <v>2</v>
      </c>
      <c r="N6" s="18" t="s">
        <v>3</v>
      </c>
      <c r="O6" s="18" t="s">
        <v>4</v>
      </c>
      <c r="P6" s="18" t="s">
        <v>5</v>
      </c>
      <c r="Q6" s="19" t="s">
        <v>6</v>
      </c>
      <c r="R6" s="18" t="s">
        <v>7</v>
      </c>
      <c r="S6" s="18" t="s">
        <v>8</v>
      </c>
      <c r="T6" s="18" t="s">
        <v>2</v>
      </c>
      <c r="U6" s="18" t="s">
        <v>3</v>
      </c>
      <c r="V6" s="18" t="s">
        <v>4</v>
      </c>
      <c r="W6" s="18" t="s">
        <v>5</v>
      </c>
      <c r="X6" s="19" t="s">
        <v>6</v>
      </c>
      <c r="Y6" s="18" t="s">
        <v>7</v>
      </c>
      <c r="Z6" s="18" t="s">
        <v>8</v>
      </c>
      <c r="AA6" s="18" t="s">
        <v>2</v>
      </c>
      <c r="AB6" s="18" t="s">
        <v>3</v>
      </c>
      <c r="AC6" s="18" t="s">
        <v>4</v>
      </c>
      <c r="AD6" s="18" t="s">
        <v>5</v>
      </c>
      <c r="AE6" s="19" t="s">
        <v>6</v>
      </c>
      <c r="AF6" s="18" t="s">
        <v>7</v>
      </c>
      <c r="AG6" s="18" t="s">
        <v>8</v>
      </c>
      <c r="AH6" s="18" t="s">
        <v>2</v>
      </c>
      <c r="AI6" s="18" t="s">
        <v>3</v>
      </c>
      <c r="AJ6" s="18" t="s">
        <v>4</v>
      </c>
      <c r="AK6" s="12" t="s">
        <v>19</v>
      </c>
      <c r="AL6" s="13" t="s">
        <v>10</v>
      </c>
      <c r="AM6" s="26" t="s">
        <v>23</v>
      </c>
      <c r="AN6" s="14" t="s">
        <v>11</v>
      </c>
    </row>
    <row r="7" spans="2:40" ht="39.950000000000003" customHeight="1" x14ac:dyDescent="0.25">
      <c r="B7" s="82">
        <v>1</v>
      </c>
      <c r="C7" s="85">
        <v>3680</v>
      </c>
      <c r="D7" s="120" t="s">
        <v>34</v>
      </c>
      <c r="E7" s="131" t="s">
        <v>22</v>
      </c>
      <c r="F7" s="2" t="s">
        <v>9</v>
      </c>
      <c r="G7" s="2"/>
      <c r="H7" s="2" t="s">
        <v>16</v>
      </c>
      <c r="I7" s="2" t="s">
        <v>9</v>
      </c>
      <c r="J7" s="20" t="s">
        <v>1</v>
      </c>
      <c r="K7" s="2" t="s">
        <v>9</v>
      </c>
      <c r="L7" s="2" t="s">
        <v>9</v>
      </c>
      <c r="M7" s="2" t="s">
        <v>9</v>
      </c>
      <c r="N7" s="2" t="s">
        <v>9</v>
      </c>
      <c r="O7" s="2" t="s">
        <v>9</v>
      </c>
      <c r="P7" s="2" t="s">
        <v>9</v>
      </c>
      <c r="Q7" s="20" t="s">
        <v>1</v>
      </c>
      <c r="R7" s="2" t="s">
        <v>9</v>
      </c>
      <c r="S7" s="2" t="s">
        <v>9</v>
      </c>
      <c r="T7" s="2" t="s">
        <v>9</v>
      </c>
      <c r="U7" s="2" t="s">
        <v>9</v>
      </c>
      <c r="V7" s="2" t="s">
        <v>9</v>
      </c>
      <c r="W7" s="2" t="s">
        <v>9</v>
      </c>
      <c r="X7" s="20" t="s">
        <v>1</v>
      </c>
      <c r="Y7" s="2" t="s">
        <v>9</v>
      </c>
      <c r="Z7" s="2" t="s">
        <v>9</v>
      </c>
      <c r="AA7" s="2" t="s">
        <v>9</v>
      </c>
      <c r="AB7" s="2" t="s">
        <v>9</v>
      </c>
      <c r="AC7" s="2" t="s">
        <v>9</v>
      </c>
      <c r="AD7" s="2" t="s">
        <v>9</v>
      </c>
      <c r="AE7" s="20" t="s">
        <v>1</v>
      </c>
      <c r="AF7" s="2" t="s">
        <v>9</v>
      </c>
      <c r="AG7" s="2" t="s">
        <v>9</v>
      </c>
      <c r="AH7" s="2" t="s">
        <v>9</v>
      </c>
      <c r="AI7" s="2" t="s">
        <v>9</v>
      </c>
      <c r="AJ7" s="2" t="s">
        <v>9</v>
      </c>
      <c r="AK7" s="3">
        <f t="shared" ref="AK7:AK16" si="0">COUNTIF(F7:AJ7,"P")</f>
        <v>25</v>
      </c>
      <c r="AL7" s="3">
        <f t="shared" ref="AL7:AL16" si="1">COUNTIF(F7:AJ7,"W/O")</f>
        <v>4</v>
      </c>
      <c r="AM7" s="27">
        <f>COUNTIF(G7:AK7,"HD+P")</f>
        <v>0</v>
      </c>
      <c r="AN7" s="137">
        <f>SUM(AK7:AM8)</f>
        <v>34</v>
      </c>
    </row>
    <row r="8" spans="2:40" ht="39.950000000000003" customHeight="1" thickBot="1" x14ac:dyDescent="0.3">
      <c r="B8" s="83"/>
      <c r="C8" s="86"/>
      <c r="D8" s="121"/>
      <c r="E8" s="132"/>
      <c r="F8" s="47"/>
      <c r="G8" s="47" t="s">
        <v>23</v>
      </c>
      <c r="H8" s="47"/>
      <c r="I8" s="47"/>
      <c r="J8" s="49"/>
      <c r="K8" s="47"/>
      <c r="L8" s="47"/>
      <c r="M8" s="47"/>
      <c r="N8" s="47"/>
      <c r="O8" s="47"/>
      <c r="P8" s="47"/>
      <c r="Q8" s="49"/>
      <c r="R8" s="47"/>
      <c r="S8" s="47"/>
      <c r="T8" s="47"/>
      <c r="U8" s="47"/>
      <c r="V8" s="47"/>
      <c r="W8" s="47"/>
      <c r="X8" s="49"/>
      <c r="Y8" s="47" t="s">
        <v>23</v>
      </c>
      <c r="Z8" s="47" t="s">
        <v>23</v>
      </c>
      <c r="AA8" s="47" t="s">
        <v>23</v>
      </c>
      <c r="AB8" s="47" t="s">
        <v>23</v>
      </c>
      <c r="AC8" s="47"/>
      <c r="AD8" s="47"/>
      <c r="AE8" s="49"/>
      <c r="AF8" s="47"/>
      <c r="AG8" s="47"/>
      <c r="AH8" s="47"/>
      <c r="AI8" s="47"/>
      <c r="AJ8" s="47"/>
      <c r="AK8" s="48">
        <f>COUNTIF(F8:AJ8,"P")</f>
        <v>0</v>
      </c>
      <c r="AL8" s="48">
        <f>COUNTIF(F8:AJ8,"W/O")</f>
        <v>0</v>
      </c>
      <c r="AM8" s="48">
        <f t="shared" ref="AM8" si="2">COUNTIF(G8:AK8,"HD")</f>
        <v>5</v>
      </c>
      <c r="AN8" s="138"/>
    </row>
    <row r="9" spans="2:40" ht="39.950000000000003" customHeight="1" x14ac:dyDescent="0.25">
      <c r="B9" s="84">
        <v>2</v>
      </c>
      <c r="C9" s="140">
        <v>3700</v>
      </c>
      <c r="D9" s="122" t="s">
        <v>35</v>
      </c>
      <c r="E9" s="133" t="s">
        <v>22</v>
      </c>
      <c r="F9" s="5" t="s">
        <v>9</v>
      </c>
      <c r="G9" s="5"/>
      <c r="H9" s="5" t="s">
        <v>16</v>
      </c>
      <c r="I9" s="5" t="s">
        <v>9</v>
      </c>
      <c r="J9" s="23" t="s">
        <v>1</v>
      </c>
      <c r="K9" s="5" t="s">
        <v>9</v>
      </c>
      <c r="L9" s="5" t="s">
        <v>9</v>
      </c>
      <c r="M9" s="5" t="s">
        <v>9</v>
      </c>
      <c r="N9" s="5" t="s">
        <v>9</v>
      </c>
      <c r="O9" s="5" t="s">
        <v>9</v>
      </c>
      <c r="P9" s="5" t="s">
        <v>9</v>
      </c>
      <c r="Q9" s="23" t="s">
        <v>1</v>
      </c>
      <c r="R9" s="5" t="s">
        <v>9</v>
      </c>
      <c r="S9" s="5" t="s">
        <v>9</v>
      </c>
      <c r="T9" s="5" t="s">
        <v>9</v>
      </c>
      <c r="U9" s="5" t="s">
        <v>9</v>
      </c>
      <c r="V9" s="5" t="s">
        <v>9</v>
      </c>
      <c r="W9" s="5" t="s">
        <v>9</v>
      </c>
      <c r="X9" s="23" t="s">
        <v>1</v>
      </c>
      <c r="Y9" s="5" t="s">
        <v>9</v>
      </c>
      <c r="Z9" s="5"/>
      <c r="AA9" s="5" t="s">
        <v>9</v>
      </c>
      <c r="AB9" s="5" t="s">
        <v>9</v>
      </c>
      <c r="AC9" s="5" t="s">
        <v>9</v>
      </c>
      <c r="AD9" s="5" t="s">
        <v>9</v>
      </c>
      <c r="AE9" s="23" t="s">
        <v>1</v>
      </c>
      <c r="AF9" s="5" t="s">
        <v>9</v>
      </c>
      <c r="AG9" s="5" t="s">
        <v>9</v>
      </c>
      <c r="AH9" s="5" t="s">
        <v>9</v>
      </c>
      <c r="AI9" s="5" t="s">
        <v>16</v>
      </c>
      <c r="AJ9" s="5" t="s">
        <v>9</v>
      </c>
      <c r="AK9" s="28">
        <f>COUNTIF(F9:AJ9,"P")</f>
        <v>23</v>
      </c>
      <c r="AL9" s="28">
        <f>COUNTIF(F9:AJ9,"W/O")</f>
        <v>4</v>
      </c>
      <c r="AM9" s="28">
        <f t="shared" ref="AM9:AM16" si="3">COUNTIF(G9:AK9,"HD")</f>
        <v>0</v>
      </c>
      <c r="AN9" s="139">
        <f>SUM(AK9:AM10)</f>
        <v>34</v>
      </c>
    </row>
    <row r="10" spans="2:40" ht="39.950000000000003" customHeight="1" thickBot="1" x14ac:dyDescent="0.3">
      <c r="B10" s="84"/>
      <c r="C10" s="140"/>
      <c r="D10" s="122"/>
      <c r="E10" s="134"/>
      <c r="F10" s="46"/>
      <c r="G10" s="46" t="s">
        <v>23</v>
      </c>
      <c r="H10" s="46"/>
      <c r="I10" s="46"/>
      <c r="J10" s="50"/>
      <c r="K10" s="46"/>
      <c r="L10" s="46"/>
      <c r="M10" s="46"/>
      <c r="N10" s="46"/>
      <c r="O10" s="46"/>
      <c r="P10" s="46"/>
      <c r="Q10" s="50"/>
      <c r="R10" s="46"/>
      <c r="S10" s="46"/>
      <c r="T10" s="46"/>
      <c r="U10" s="46"/>
      <c r="V10" s="46"/>
      <c r="W10" s="46"/>
      <c r="X10" s="50" t="s">
        <v>9</v>
      </c>
      <c r="Y10" s="46" t="s">
        <v>23</v>
      </c>
      <c r="Z10" s="46" t="s">
        <v>23</v>
      </c>
      <c r="AA10" s="46" t="s">
        <v>23</v>
      </c>
      <c r="AB10" s="46" t="s">
        <v>23</v>
      </c>
      <c r="AC10" s="46"/>
      <c r="AD10" s="46"/>
      <c r="AE10" s="50" t="s">
        <v>9</v>
      </c>
      <c r="AF10" s="46"/>
      <c r="AG10" s="46"/>
      <c r="AH10" s="46"/>
      <c r="AI10" s="46"/>
      <c r="AJ10" s="46"/>
      <c r="AK10" s="51">
        <f>COUNTIF(F10:AJ10,"P")</f>
        <v>2</v>
      </c>
      <c r="AL10" s="51">
        <f>COUNTIF(F10:AJ10,"W/O")</f>
        <v>0</v>
      </c>
      <c r="AM10" s="51">
        <f t="shared" ref="AM10" si="4">COUNTIF(G10:AK10,"HD")</f>
        <v>5</v>
      </c>
      <c r="AN10" s="139"/>
    </row>
    <row r="11" spans="2:40" ht="39.950000000000003" customHeight="1" x14ac:dyDescent="0.25">
      <c r="B11" s="82">
        <v>3</v>
      </c>
      <c r="C11" s="118">
        <v>3751</v>
      </c>
      <c r="D11" s="120" t="s">
        <v>36</v>
      </c>
      <c r="E11" s="135" t="s">
        <v>22</v>
      </c>
      <c r="F11" s="2" t="s">
        <v>9</v>
      </c>
      <c r="G11" s="2"/>
      <c r="H11" s="2" t="s">
        <v>9</v>
      </c>
      <c r="I11" s="2" t="s">
        <v>9</v>
      </c>
      <c r="J11" s="20" t="s">
        <v>1</v>
      </c>
      <c r="K11" s="2" t="s">
        <v>9</v>
      </c>
      <c r="L11" s="2" t="s">
        <v>16</v>
      </c>
      <c r="M11" s="2" t="s">
        <v>9</v>
      </c>
      <c r="N11" s="2" t="s">
        <v>9</v>
      </c>
      <c r="O11" s="2" t="s">
        <v>9</v>
      </c>
      <c r="P11" s="2" t="s">
        <v>9</v>
      </c>
      <c r="Q11" s="20" t="s">
        <v>1</v>
      </c>
      <c r="R11" s="2" t="s">
        <v>9</v>
      </c>
      <c r="S11" s="2" t="s">
        <v>9</v>
      </c>
      <c r="T11" s="2" t="s">
        <v>9</v>
      </c>
      <c r="U11" s="2" t="s">
        <v>9</v>
      </c>
      <c r="V11" s="2" t="s">
        <v>9</v>
      </c>
      <c r="W11" s="2" t="s">
        <v>9</v>
      </c>
      <c r="X11" s="20" t="s">
        <v>1</v>
      </c>
      <c r="Y11" s="2" t="s">
        <v>9</v>
      </c>
      <c r="Z11" s="2"/>
      <c r="AA11" s="2" t="s">
        <v>9</v>
      </c>
      <c r="AB11" s="2" t="s">
        <v>9</v>
      </c>
      <c r="AC11" s="2" t="s">
        <v>9</v>
      </c>
      <c r="AD11" s="2" t="s">
        <v>9</v>
      </c>
      <c r="AE11" s="20" t="s">
        <v>1</v>
      </c>
      <c r="AF11" s="2" t="s">
        <v>16</v>
      </c>
      <c r="AG11" s="2" t="s">
        <v>9</v>
      </c>
      <c r="AH11" s="2" t="s">
        <v>9</v>
      </c>
      <c r="AI11" s="2" t="s">
        <v>9</v>
      </c>
      <c r="AJ11" s="2" t="s">
        <v>9</v>
      </c>
      <c r="AK11" s="3">
        <f t="shared" ref="AK11:AK13" si="5">COUNTIF(F11:AJ11,"P")</f>
        <v>23</v>
      </c>
      <c r="AL11" s="3">
        <f t="shared" ref="AL11:AL13" si="6">COUNTIF(F11:AJ11,"W/O")</f>
        <v>4</v>
      </c>
      <c r="AM11" s="3">
        <f t="shared" si="3"/>
        <v>0</v>
      </c>
      <c r="AN11" s="137">
        <f>SUM(AK11:AM12)</f>
        <v>32</v>
      </c>
    </row>
    <row r="12" spans="2:40" ht="39.950000000000003" customHeight="1" thickBot="1" x14ac:dyDescent="0.3">
      <c r="B12" s="83"/>
      <c r="C12" s="119"/>
      <c r="D12" s="121"/>
      <c r="E12" s="136"/>
      <c r="F12" s="17"/>
      <c r="G12" s="17" t="s">
        <v>23</v>
      </c>
      <c r="H12" s="17"/>
      <c r="I12" s="17"/>
      <c r="J12" s="22"/>
      <c r="K12" s="17"/>
      <c r="L12" s="17"/>
      <c r="M12" s="17"/>
      <c r="N12" s="17"/>
      <c r="O12" s="17"/>
      <c r="P12" s="17"/>
      <c r="Q12" s="22"/>
      <c r="R12" s="17"/>
      <c r="S12" s="17"/>
      <c r="T12" s="17"/>
      <c r="U12" s="17"/>
      <c r="V12" s="17"/>
      <c r="W12" s="17"/>
      <c r="X12" s="22"/>
      <c r="Y12" s="17" t="s">
        <v>23</v>
      </c>
      <c r="Z12" s="17" t="s">
        <v>23</v>
      </c>
      <c r="AA12" s="17" t="s">
        <v>23</v>
      </c>
      <c r="AB12" s="17" t="s">
        <v>23</v>
      </c>
      <c r="AC12" s="17"/>
      <c r="AD12" s="17"/>
      <c r="AE12" s="22"/>
      <c r="AF12" s="17"/>
      <c r="AG12" s="17"/>
      <c r="AH12" s="17"/>
      <c r="AI12" s="17"/>
      <c r="AJ12" s="17"/>
      <c r="AK12" s="48">
        <f>COUNTIF(F12:AJ12,"P")</f>
        <v>0</v>
      </c>
      <c r="AL12" s="48">
        <f>COUNTIF(F12:AJ12,"W/O")</f>
        <v>0</v>
      </c>
      <c r="AM12" s="48">
        <f t="shared" ref="AM12" si="7">COUNTIF(G12:AK12,"HD")</f>
        <v>5</v>
      </c>
      <c r="AN12" s="138"/>
    </row>
    <row r="13" spans="2:40" ht="39.950000000000003" customHeight="1" x14ac:dyDescent="0.25">
      <c r="B13" s="84">
        <v>4</v>
      </c>
      <c r="C13" s="140">
        <v>3771</v>
      </c>
      <c r="D13" s="122" t="s">
        <v>37</v>
      </c>
      <c r="E13" s="133" t="s">
        <v>22</v>
      </c>
      <c r="F13" s="5" t="s">
        <v>9</v>
      </c>
      <c r="G13" s="5"/>
      <c r="H13" s="5" t="s">
        <v>16</v>
      </c>
      <c r="I13" s="5" t="s">
        <v>16</v>
      </c>
      <c r="J13" s="23" t="s">
        <v>1</v>
      </c>
      <c r="K13" s="5" t="s">
        <v>9</v>
      </c>
      <c r="L13" s="5" t="s">
        <v>9</v>
      </c>
      <c r="M13" s="5" t="s">
        <v>9</v>
      </c>
      <c r="N13" s="5" t="s">
        <v>16</v>
      </c>
      <c r="O13" s="5" t="s">
        <v>9</v>
      </c>
      <c r="P13" s="5" t="s">
        <v>9</v>
      </c>
      <c r="Q13" s="23" t="s">
        <v>1</v>
      </c>
      <c r="R13" s="5" t="s">
        <v>9</v>
      </c>
      <c r="S13" s="5" t="s">
        <v>9</v>
      </c>
      <c r="T13" s="5" t="s">
        <v>16</v>
      </c>
      <c r="U13" s="5" t="s">
        <v>16</v>
      </c>
      <c r="V13" s="5" t="s">
        <v>16</v>
      </c>
      <c r="W13" s="5" t="s">
        <v>16</v>
      </c>
      <c r="X13" s="5" t="s">
        <v>16</v>
      </c>
      <c r="Y13" s="5" t="s">
        <v>16</v>
      </c>
      <c r="Z13" s="5" t="s">
        <v>16</v>
      </c>
      <c r="AA13" s="5" t="s">
        <v>16</v>
      </c>
      <c r="AB13" s="5" t="s">
        <v>16</v>
      </c>
      <c r="AC13" s="5" t="s">
        <v>16</v>
      </c>
      <c r="AD13" s="5" t="s">
        <v>16</v>
      </c>
      <c r="AE13" s="5" t="s">
        <v>16</v>
      </c>
      <c r="AF13" s="5" t="s">
        <v>16</v>
      </c>
      <c r="AG13" s="5" t="s">
        <v>16</v>
      </c>
      <c r="AH13" s="5" t="s">
        <v>16</v>
      </c>
      <c r="AI13" s="5" t="s">
        <v>16</v>
      </c>
      <c r="AJ13" s="5" t="s">
        <v>16</v>
      </c>
      <c r="AK13" s="28">
        <f t="shared" si="5"/>
        <v>8</v>
      </c>
      <c r="AL13" s="28">
        <f t="shared" si="6"/>
        <v>2</v>
      </c>
      <c r="AM13" s="28">
        <f t="shared" si="3"/>
        <v>0</v>
      </c>
      <c r="AN13" s="139">
        <f>SUM(AK13:AM14)</f>
        <v>12</v>
      </c>
    </row>
    <row r="14" spans="2:40" ht="39.950000000000003" customHeight="1" thickBot="1" x14ac:dyDescent="0.3">
      <c r="B14" s="84"/>
      <c r="C14" s="140"/>
      <c r="D14" s="122"/>
      <c r="E14" s="134"/>
      <c r="F14" s="46"/>
      <c r="G14" s="46" t="s">
        <v>23</v>
      </c>
      <c r="H14" s="46"/>
      <c r="I14" s="46"/>
      <c r="J14" s="50"/>
      <c r="K14" s="46"/>
      <c r="L14" s="46"/>
      <c r="M14" s="46"/>
      <c r="N14" s="46"/>
      <c r="O14" s="46"/>
      <c r="P14" s="46"/>
      <c r="Q14" s="50" t="s">
        <v>9</v>
      </c>
      <c r="R14" s="46"/>
      <c r="S14" s="46"/>
      <c r="T14" s="46"/>
      <c r="U14" s="46"/>
      <c r="V14" s="46"/>
      <c r="W14" s="46"/>
      <c r="X14" s="50"/>
      <c r="Y14" s="46"/>
      <c r="Z14" s="46"/>
      <c r="AA14" s="46"/>
      <c r="AB14" s="46"/>
      <c r="AC14" s="46"/>
      <c r="AD14" s="46"/>
      <c r="AE14" s="50"/>
      <c r="AF14" s="46"/>
      <c r="AG14" s="46"/>
      <c r="AH14" s="46"/>
      <c r="AI14" s="46"/>
      <c r="AJ14" s="46"/>
      <c r="AK14" s="51">
        <f>COUNTIF(F14:AJ14,"P")</f>
        <v>1</v>
      </c>
      <c r="AL14" s="51">
        <f>COUNTIF(F14:AJ14,"W/O")</f>
        <v>0</v>
      </c>
      <c r="AM14" s="51">
        <f t="shared" ref="AM14" si="8">COUNTIF(G14:AK14,"HD")</f>
        <v>1</v>
      </c>
      <c r="AN14" s="139"/>
    </row>
    <row r="15" spans="2:40" ht="39.950000000000003" customHeight="1" x14ac:dyDescent="0.25">
      <c r="B15" s="82">
        <v>5</v>
      </c>
      <c r="C15" s="118">
        <v>3787</v>
      </c>
      <c r="D15" s="120" t="s">
        <v>38</v>
      </c>
      <c r="E15" s="131" t="s">
        <v>22</v>
      </c>
      <c r="F15" s="123" t="s">
        <v>25</v>
      </c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5"/>
      <c r="U15" s="2" t="s">
        <v>9</v>
      </c>
      <c r="V15" s="2" t="s">
        <v>9</v>
      </c>
      <c r="W15" s="2" t="s">
        <v>9</v>
      </c>
      <c r="X15" s="20" t="s">
        <v>1</v>
      </c>
      <c r="Y15" s="2" t="s">
        <v>9</v>
      </c>
      <c r="Z15" s="2"/>
      <c r="AA15" s="2"/>
      <c r="AB15" s="2" t="s">
        <v>9</v>
      </c>
      <c r="AC15" s="2" t="s">
        <v>9</v>
      </c>
      <c r="AD15" s="2" t="s">
        <v>9</v>
      </c>
      <c r="AE15" s="20" t="s">
        <v>1</v>
      </c>
      <c r="AF15" s="2" t="s">
        <v>9</v>
      </c>
      <c r="AG15" s="2" t="s">
        <v>16</v>
      </c>
      <c r="AH15" s="2" t="s">
        <v>9</v>
      </c>
      <c r="AI15" s="2" t="s">
        <v>9</v>
      </c>
      <c r="AJ15" s="2" t="s">
        <v>9</v>
      </c>
      <c r="AK15" s="3">
        <f t="shared" si="0"/>
        <v>11</v>
      </c>
      <c r="AL15" s="3">
        <f t="shared" si="1"/>
        <v>2</v>
      </c>
      <c r="AM15" s="3">
        <f t="shared" si="3"/>
        <v>0</v>
      </c>
      <c r="AN15" s="137">
        <f>SUM(AK15:AM16)</f>
        <v>19</v>
      </c>
    </row>
    <row r="16" spans="2:40" ht="39.950000000000003" customHeight="1" thickBot="1" x14ac:dyDescent="0.3">
      <c r="B16" s="83"/>
      <c r="C16" s="119"/>
      <c r="D16" s="121"/>
      <c r="E16" s="132"/>
      <c r="F16" s="126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8"/>
      <c r="U16" s="17"/>
      <c r="V16" s="17"/>
      <c r="W16" s="17"/>
      <c r="X16" s="22" t="s">
        <v>9</v>
      </c>
      <c r="Y16" s="17" t="s">
        <v>23</v>
      </c>
      <c r="Z16" s="17" t="s">
        <v>23</v>
      </c>
      <c r="AA16" s="17" t="s">
        <v>23</v>
      </c>
      <c r="AB16" s="17" t="s">
        <v>23</v>
      </c>
      <c r="AC16" s="17"/>
      <c r="AD16" s="17"/>
      <c r="AE16" s="22" t="s">
        <v>9</v>
      </c>
      <c r="AF16" s="17"/>
      <c r="AG16" s="17"/>
      <c r="AH16" s="17"/>
      <c r="AI16" s="17"/>
      <c r="AJ16" s="17"/>
      <c r="AK16" s="48">
        <f t="shared" si="0"/>
        <v>2</v>
      </c>
      <c r="AL16" s="48">
        <f t="shared" si="1"/>
        <v>0</v>
      </c>
      <c r="AM16" s="48">
        <f t="shared" si="3"/>
        <v>4</v>
      </c>
      <c r="AN16" s="138"/>
    </row>
    <row r="17" spans="2:41" s="7" customFormat="1" ht="39.950000000000003" customHeight="1" x14ac:dyDescent="0.25">
      <c r="B17" s="87" t="s">
        <v>10</v>
      </c>
      <c r="C17" s="88"/>
      <c r="D17" s="88"/>
      <c r="E17" s="88"/>
      <c r="F17" s="5">
        <f>COUNTIF(F7:F16,"W/O")</f>
        <v>0</v>
      </c>
      <c r="G17" s="5">
        <f>COUNTIF(G7:G16,"W/O")</f>
        <v>0</v>
      </c>
      <c r="H17" s="5">
        <f t="shared" ref="H17:AJ17" si="9">COUNTIF(H7:H16,"W/O")</f>
        <v>0</v>
      </c>
      <c r="I17" s="5">
        <f t="shared" si="9"/>
        <v>0</v>
      </c>
      <c r="J17" s="23">
        <f t="shared" si="9"/>
        <v>4</v>
      </c>
      <c r="K17" s="5">
        <f t="shared" si="9"/>
        <v>0</v>
      </c>
      <c r="L17" s="5">
        <f t="shared" si="9"/>
        <v>0</v>
      </c>
      <c r="M17" s="5">
        <f t="shared" si="9"/>
        <v>0</v>
      </c>
      <c r="N17" s="5">
        <f t="shared" si="9"/>
        <v>0</v>
      </c>
      <c r="O17" s="5">
        <f t="shared" si="9"/>
        <v>0</v>
      </c>
      <c r="P17" s="5">
        <f t="shared" si="9"/>
        <v>0</v>
      </c>
      <c r="Q17" s="23">
        <f t="shared" si="9"/>
        <v>4</v>
      </c>
      <c r="R17" s="5">
        <f t="shared" si="9"/>
        <v>0</v>
      </c>
      <c r="S17" s="5">
        <f t="shared" si="9"/>
        <v>0</v>
      </c>
      <c r="T17" s="5">
        <f t="shared" si="9"/>
        <v>0</v>
      </c>
      <c r="U17" s="5">
        <f t="shared" si="9"/>
        <v>0</v>
      </c>
      <c r="V17" s="5">
        <f t="shared" si="9"/>
        <v>0</v>
      </c>
      <c r="W17" s="5">
        <f t="shared" si="9"/>
        <v>0</v>
      </c>
      <c r="X17" s="23">
        <f t="shared" si="9"/>
        <v>4</v>
      </c>
      <c r="Y17" s="5">
        <f t="shared" si="9"/>
        <v>0</v>
      </c>
      <c r="Z17" s="5">
        <f t="shared" si="9"/>
        <v>0</v>
      </c>
      <c r="AA17" s="5">
        <f t="shared" si="9"/>
        <v>0</v>
      </c>
      <c r="AB17" s="5">
        <f t="shared" si="9"/>
        <v>0</v>
      </c>
      <c r="AC17" s="5">
        <f t="shared" si="9"/>
        <v>0</v>
      </c>
      <c r="AD17" s="5">
        <f t="shared" si="9"/>
        <v>0</v>
      </c>
      <c r="AE17" s="23">
        <f t="shared" si="9"/>
        <v>4</v>
      </c>
      <c r="AF17" s="5">
        <f t="shared" si="9"/>
        <v>0</v>
      </c>
      <c r="AG17" s="5">
        <f t="shared" si="9"/>
        <v>0</v>
      </c>
      <c r="AH17" s="5">
        <f t="shared" si="9"/>
        <v>0</v>
      </c>
      <c r="AI17" s="5">
        <f t="shared" si="9"/>
        <v>0</v>
      </c>
      <c r="AJ17" s="5">
        <f t="shared" si="9"/>
        <v>0</v>
      </c>
      <c r="AK17" s="15">
        <f>SUM(AK7:AK16)</f>
        <v>95</v>
      </c>
      <c r="AL17" s="15">
        <f>SUM(AL7:AL16)</f>
        <v>16</v>
      </c>
      <c r="AM17" s="28">
        <f>SUM(AM7:AM16)</f>
        <v>20</v>
      </c>
      <c r="AN17" s="16">
        <f>SUM(AN7:AN16)</f>
        <v>131</v>
      </c>
    </row>
    <row r="18" spans="2:41" s="7" customFormat="1" ht="39.950000000000003" customHeight="1" x14ac:dyDescent="0.25">
      <c r="B18" s="89" t="s">
        <v>17</v>
      </c>
      <c r="C18" s="90"/>
      <c r="D18" s="90"/>
      <c r="E18" s="90"/>
      <c r="F18" s="6">
        <f>COUNTIF(F7:F16,"P")</f>
        <v>4</v>
      </c>
      <c r="G18" s="6">
        <f t="shared" ref="G18:AJ18" si="10">COUNTIF(G7:G16,"P")</f>
        <v>0</v>
      </c>
      <c r="H18" s="6">
        <f t="shared" si="10"/>
        <v>1</v>
      </c>
      <c r="I18" s="6">
        <f t="shared" si="10"/>
        <v>3</v>
      </c>
      <c r="J18" s="21">
        <f t="shared" si="10"/>
        <v>0</v>
      </c>
      <c r="K18" s="6">
        <f t="shared" si="10"/>
        <v>4</v>
      </c>
      <c r="L18" s="6">
        <f t="shared" si="10"/>
        <v>3</v>
      </c>
      <c r="M18" s="6">
        <f t="shared" si="10"/>
        <v>4</v>
      </c>
      <c r="N18" s="6">
        <f t="shared" si="10"/>
        <v>3</v>
      </c>
      <c r="O18" s="6">
        <f t="shared" si="10"/>
        <v>4</v>
      </c>
      <c r="P18" s="6">
        <f t="shared" si="10"/>
        <v>4</v>
      </c>
      <c r="Q18" s="21">
        <f t="shared" si="10"/>
        <v>1</v>
      </c>
      <c r="R18" s="6">
        <f t="shared" si="10"/>
        <v>4</v>
      </c>
      <c r="S18" s="6">
        <f t="shared" si="10"/>
        <v>4</v>
      </c>
      <c r="T18" s="6">
        <f t="shared" si="10"/>
        <v>3</v>
      </c>
      <c r="U18" s="6">
        <f t="shared" si="10"/>
        <v>4</v>
      </c>
      <c r="V18" s="6">
        <f t="shared" si="10"/>
        <v>4</v>
      </c>
      <c r="W18" s="6">
        <f t="shared" si="10"/>
        <v>4</v>
      </c>
      <c r="X18" s="21">
        <f t="shared" si="10"/>
        <v>2</v>
      </c>
      <c r="Y18" s="6">
        <f t="shared" si="10"/>
        <v>4</v>
      </c>
      <c r="Z18" s="6">
        <f t="shared" si="10"/>
        <v>1</v>
      </c>
      <c r="AA18" s="6">
        <f t="shared" si="10"/>
        <v>3</v>
      </c>
      <c r="AB18" s="6">
        <f t="shared" si="10"/>
        <v>4</v>
      </c>
      <c r="AC18" s="6">
        <f t="shared" si="10"/>
        <v>4</v>
      </c>
      <c r="AD18" s="6">
        <f t="shared" si="10"/>
        <v>4</v>
      </c>
      <c r="AE18" s="21">
        <f t="shared" si="10"/>
        <v>2</v>
      </c>
      <c r="AF18" s="6">
        <f t="shared" si="10"/>
        <v>3</v>
      </c>
      <c r="AG18" s="6">
        <f t="shared" si="10"/>
        <v>3</v>
      </c>
      <c r="AH18" s="6">
        <f t="shared" si="10"/>
        <v>4</v>
      </c>
      <c r="AI18" s="6">
        <f t="shared" si="10"/>
        <v>3</v>
      </c>
      <c r="AJ18" s="6">
        <f t="shared" si="10"/>
        <v>4</v>
      </c>
      <c r="AK18" s="10">
        <f>SUM(F18:AJ18)</f>
        <v>95</v>
      </c>
      <c r="AL18" s="62" t="s">
        <v>21</v>
      </c>
      <c r="AM18" s="63"/>
      <c r="AN18" s="64"/>
    </row>
    <row r="19" spans="2:41" ht="39.950000000000003" customHeight="1" thickBot="1" x14ac:dyDescent="0.3">
      <c r="B19" s="68" t="s">
        <v>14</v>
      </c>
      <c r="C19" s="69"/>
      <c r="D19" s="69"/>
      <c r="E19" s="69"/>
      <c r="F19" s="8">
        <f>SUM(F17:F18)</f>
        <v>4</v>
      </c>
      <c r="G19" s="8">
        <f t="shared" ref="G19:AJ19" si="11">SUM(G17:G18)</f>
        <v>0</v>
      </c>
      <c r="H19" s="8">
        <f t="shared" si="11"/>
        <v>1</v>
      </c>
      <c r="I19" s="8">
        <f t="shared" si="11"/>
        <v>3</v>
      </c>
      <c r="J19" s="24">
        <f t="shared" si="11"/>
        <v>4</v>
      </c>
      <c r="K19" s="8">
        <f t="shared" si="11"/>
        <v>4</v>
      </c>
      <c r="L19" s="8">
        <f t="shared" si="11"/>
        <v>3</v>
      </c>
      <c r="M19" s="8">
        <f t="shared" si="11"/>
        <v>4</v>
      </c>
      <c r="N19" s="8">
        <f t="shared" si="11"/>
        <v>3</v>
      </c>
      <c r="O19" s="8">
        <f t="shared" si="11"/>
        <v>4</v>
      </c>
      <c r="P19" s="8">
        <f t="shared" si="11"/>
        <v>4</v>
      </c>
      <c r="Q19" s="24">
        <f t="shared" si="11"/>
        <v>5</v>
      </c>
      <c r="R19" s="8">
        <f t="shared" si="11"/>
        <v>4</v>
      </c>
      <c r="S19" s="8">
        <f t="shared" si="11"/>
        <v>4</v>
      </c>
      <c r="T19" s="8">
        <f t="shared" si="11"/>
        <v>3</v>
      </c>
      <c r="U19" s="8">
        <f t="shared" si="11"/>
        <v>4</v>
      </c>
      <c r="V19" s="8">
        <f t="shared" si="11"/>
        <v>4</v>
      </c>
      <c r="W19" s="8">
        <f t="shared" si="11"/>
        <v>4</v>
      </c>
      <c r="X19" s="24">
        <f t="shared" si="11"/>
        <v>6</v>
      </c>
      <c r="Y19" s="8">
        <f t="shared" si="11"/>
        <v>4</v>
      </c>
      <c r="Z19" s="8">
        <f t="shared" si="11"/>
        <v>1</v>
      </c>
      <c r="AA19" s="8">
        <f t="shared" si="11"/>
        <v>3</v>
      </c>
      <c r="AB19" s="8">
        <f t="shared" si="11"/>
        <v>4</v>
      </c>
      <c r="AC19" s="8">
        <f t="shared" si="11"/>
        <v>4</v>
      </c>
      <c r="AD19" s="8">
        <f t="shared" si="11"/>
        <v>4</v>
      </c>
      <c r="AE19" s="24">
        <f t="shared" si="11"/>
        <v>6</v>
      </c>
      <c r="AF19" s="8">
        <f t="shared" si="11"/>
        <v>3</v>
      </c>
      <c r="AG19" s="8">
        <f t="shared" si="11"/>
        <v>3</v>
      </c>
      <c r="AH19" s="8">
        <f t="shared" si="11"/>
        <v>4</v>
      </c>
      <c r="AI19" s="8">
        <f t="shared" si="11"/>
        <v>3</v>
      </c>
      <c r="AJ19" s="8">
        <f t="shared" si="11"/>
        <v>4</v>
      </c>
      <c r="AK19" s="11">
        <f>SUM(F19:AJ19)</f>
        <v>111</v>
      </c>
      <c r="AL19" s="65"/>
      <c r="AM19" s="66"/>
      <c r="AN19" s="67"/>
    </row>
    <row r="20" spans="2:41" ht="50.1" customHeight="1" thickBot="1" x14ac:dyDescent="0.3"/>
    <row r="21" spans="2:41" s="29" customFormat="1" ht="39.950000000000003" customHeight="1" thickBot="1" x14ac:dyDescent="0.3">
      <c r="B21" s="30" t="s">
        <v>24</v>
      </c>
      <c r="C21" s="99" t="s">
        <v>25</v>
      </c>
      <c r="D21" s="100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101" t="s">
        <v>28</v>
      </c>
      <c r="S21" s="102"/>
      <c r="T21" s="102"/>
      <c r="U21" s="102"/>
      <c r="V21" s="102"/>
      <c r="W21" s="102"/>
      <c r="X21" s="102"/>
      <c r="Y21" s="102"/>
      <c r="Z21" s="103"/>
      <c r="AA21" s="104">
        <f>SUM(AN7:AN16)</f>
        <v>131</v>
      </c>
      <c r="AB21" s="105"/>
      <c r="AC21" s="32"/>
      <c r="AD21" s="32"/>
      <c r="AE21" s="32"/>
      <c r="AF21" s="32"/>
      <c r="AG21" s="32"/>
      <c r="AH21" s="32"/>
      <c r="AI21" s="32"/>
      <c r="AJ21" s="32"/>
      <c r="AK21" s="33"/>
      <c r="AL21" s="34"/>
      <c r="AM21" s="33"/>
      <c r="AN21" s="33"/>
      <c r="AO21" s="33"/>
    </row>
    <row r="22" spans="2:41" s="29" customFormat="1" ht="39.950000000000003" customHeight="1" thickBot="1" x14ac:dyDescent="0.3">
      <c r="B22" s="52" t="s">
        <v>1</v>
      </c>
      <c r="C22" s="129" t="s">
        <v>10</v>
      </c>
      <c r="D22" s="130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95" t="s">
        <v>31</v>
      </c>
      <c r="S22" s="96"/>
      <c r="T22" s="96"/>
      <c r="U22" s="96"/>
      <c r="V22" s="96"/>
      <c r="W22" s="96"/>
      <c r="X22" s="96"/>
      <c r="Y22" s="53">
        <v>5</v>
      </c>
      <c r="Z22" s="54">
        <v>31</v>
      </c>
      <c r="AA22" s="97">
        <f>Y22*Z22</f>
        <v>155</v>
      </c>
      <c r="AB22" s="98"/>
      <c r="AC22" s="37"/>
      <c r="AD22" s="32"/>
      <c r="AE22" s="32"/>
      <c r="AF22" s="32"/>
      <c r="AG22" s="32"/>
      <c r="AH22" s="32"/>
      <c r="AI22" s="32"/>
      <c r="AJ22" s="32"/>
      <c r="AK22" s="33"/>
      <c r="AL22" s="34"/>
      <c r="AM22" s="33"/>
      <c r="AN22" s="33"/>
      <c r="AO22" s="33"/>
    </row>
    <row r="23" spans="2:41" s="29" customFormat="1" ht="39.950000000000003" customHeight="1" thickBot="1" x14ac:dyDescent="0.3">
      <c r="B23" s="40" t="s">
        <v>23</v>
      </c>
      <c r="C23" s="116" t="s">
        <v>40</v>
      </c>
      <c r="D23" s="117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106" t="s">
        <v>43</v>
      </c>
      <c r="S23" s="107"/>
      <c r="T23" s="107"/>
      <c r="U23" s="107"/>
      <c r="V23" s="107"/>
      <c r="W23" s="107"/>
      <c r="X23" s="107"/>
      <c r="Y23" s="107"/>
      <c r="Z23" s="108"/>
      <c r="AA23" s="109">
        <f>AA22-AA21</f>
        <v>24</v>
      </c>
      <c r="AB23" s="110"/>
      <c r="AC23" s="38"/>
      <c r="AD23" s="37"/>
      <c r="AE23" s="32"/>
      <c r="AF23" s="32"/>
      <c r="AG23" s="32"/>
      <c r="AH23" s="32"/>
      <c r="AI23" s="32"/>
      <c r="AJ23" s="32"/>
      <c r="AK23" s="33"/>
      <c r="AL23" s="33"/>
      <c r="AM23" s="33"/>
      <c r="AN23" s="33"/>
      <c r="AO23" s="33"/>
    </row>
    <row r="24" spans="2:41" s="29" customFormat="1" ht="39.950000000000003" customHeight="1" thickBot="1" x14ac:dyDescent="0.3">
      <c r="B24" s="35" t="s">
        <v>26</v>
      </c>
      <c r="C24" s="91" t="s">
        <v>27</v>
      </c>
      <c r="D24" s="92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111" t="s">
        <v>32</v>
      </c>
      <c r="S24" s="112"/>
      <c r="T24" s="112"/>
      <c r="U24" s="112"/>
      <c r="V24" s="112"/>
      <c r="W24" s="112"/>
      <c r="X24" s="112"/>
      <c r="Y24" s="112"/>
      <c r="Z24" s="113"/>
      <c r="AA24" s="114">
        <f>AA21/AA22*100</f>
        <v>84.516129032258064</v>
      </c>
      <c r="AB24" s="115"/>
      <c r="AD24" s="38"/>
      <c r="AE24" s="38"/>
      <c r="AF24" s="38"/>
      <c r="AG24" s="38"/>
      <c r="AH24" s="38"/>
      <c r="AI24" s="38"/>
      <c r="AJ24" s="38"/>
      <c r="AK24" s="33"/>
      <c r="AL24" s="33"/>
      <c r="AM24" s="33"/>
      <c r="AN24" s="33"/>
      <c r="AO24" s="33"/>
    </row>
    <row r="25" spans="2:41" s="29" customFormat="1" ht="39.950000000000003" customHeight="1" thickBot="1" x14ac:dyDescent="0.3">
      <c r="B25" s="36" t="s">
        <v>26</v>
      </c>
      <c r="C25" s="91" t="s">
        <v>29</v>
      </c>
      <c r="D25" s="92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45"/>
      <c r="X25" s="45"/>
      <c r="Y25" s="45"/>
      <c r="Z25" s="45"/>
      <c r="AA25" s="45"/>
      <c r="AB25" s="45"/>
      <c r="AC25" s="43"/>
      <c r="AE25" s="37"/>
      <c r="AF25" s="37"/>
      <c r="AG25" s="37"/>
      <c r="AH25" s="37"/>
      <c r="AI25" s="37"/>
      <c r="AJ25" s="37"/>
      <c r="AK25" s="39"/>
      <c r="AL25" s="39"/>
      <c r="AM25" s="39"/>
      <c r="AN25" s="39"/>
      <c r="AO25" s="39"/>
    </row>
    <row r="26" spans="2:41" s="29" customFormat="1" ht="39.950000000000003" customHeight="1" thickBot="1" x14ac:dyDescent="0.3">
      <c r="B26" s="30"/>
      <c r="C26" s="93" t="s">
        <v>30</v>
      </c>
      <c r="D26" s="94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45"/>
      <c r="X26" s="45"/>
      <c r="Y26" s="45"/>
      <c r="Z26" s="45"/>
      <c r="AA26" s="45"/>
      <c r="AB26" s="45"/>
      <c r="AC26" s="45"/>
      <c r="AD26" s="43"/>
      <c r="AE26" s="37"/>
      <c r="AF26" s="37"/>
      <c r="AG26" s="37"/>
      <c r="AH26" s="37"/>
      <c r="AI26" s="37"/>
      <c r="AJ26" s="37"/>
      <c r="AK26" s="39"/>
      <c r="AL26" s="39"/>
      <c r="AM26" s="39"/>
      <c r="AN26" s="39"/>
      <c r="AO26" s="39"/>
    </row>
    <row r="27" spans="2:41" s="29" customFormat="1" ht="50.1" customHeight="1" x14ac:dyDescent="0.25"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45"/>
      <c r="AD27" s="45"/>
      <c r="AE27" s="45"/>
      <c r="AF27" s="45"/>
      <c r="AG27" s="45"/>
      <c r="AH27" s="45"/>
      <c r="AI27" s="45"/>
      <c r="AJ27" s="45"/>
      <c r="AK27" s="33"/>
      <c r="AL27" s="33"/>
      <c r="AM27" s="33"/>
      <c r="AN27" s="33"/>
      <c r="AO27" s="33"/>
    </row>
    <row r="28" spans="2:41" s="29" customFormat="1" ht="50.1" customHeight="1" x14ac:dyDescent="0.25">
      <c r="B28" s="7"/>
      <c r="C28" s="1"/>
      <c r="D28" s="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45"/>
      <c r="AE28" s="45"/>
      <c r="AF28" s="45"/>
      <c r="AG28" s="45"/>
      <c r="AH28" s="45"/>
      <c r="AI28" s="45"/>
      <c r="AJ28" s="45"/>
      <c r="AK28" s="33"/>
      <c r="AL28" s="33"/>
      <c r="AM28" s="33"/>
      <c r="AN28" s="33"/>
      <c r="AO28" s="33"/>
    </row>
    <row r="29" spans="2:41" ht="50.1" customHeight="1" x14ac:dyDescent="0.25">
      <c r="B29" s="31"/>
      <c r="C29" s="31"/>
      <c r="D29" s="44"/>
    </row>
    <row r="30" spans="2:41" ht="50.1" customHeight="1" x14ac:dyDescent="0.25">
      <c r="B30" s="31"/>
      <c r="C30" s="31"/>
      <c r="D30" s="44"/>
    </row>
  </sheetData>
  <mergeCells count="51">
    <mergeCell ref="F15:T16"/>
    <mergeCell ref="C22:D22"/>
    <mergeCell ref="B3:AN3"/>
    <mergeCell ref="E7:E8"/>
    <mergeCell ref="E9:E10"/>
    <mergeCell ref="E11:E12"/>
    <mergeCell ref="E13:E14"/>
    <mergeCell ref="E15:E16"/>
    <mergeCell ref="AN7:AN8"/>
    <mergeCell ref="AN9:AN10"/>
    <mergeCell ref="AN11:AN12"/>
    <mergeCell ref="AN13:AN14"/>
    <mergeCell ref="AN15:AN16"/>
    <mergeCell ref="C9:C10"/>
    <mergeCell ref="C11:C12"/>
    <mergeCell ref="C13:C14"/>
    <mergeCell ref="C15:C16"/>
    <mergeCell ref="D7:D8"/>
    <mergeCell ref="D9:D10"/>
    <mergeCell ref="D11:D12"/>
    <mergeCell ref="D13:D14"/>
    <mergeCell ref="D15:D16"/>
    <mergeCell ref="C25:D25"/>
    <mergeCell ref="C26:D26"/>
    <mergeCell ref="R22:X22"/>
    <mergeCell ref="AA22:AB22"/>
    <mergeCell ref="C21:D21"/>
    <mergeCell ref="C24:D24"/>
    <mergeCell ref="R21:Z21"/>
    <mergeCell ref="AA21:AB21"/>
    <mergeCell ref="R23:Z23"/>
    <mergeCell ref="AA23:AB23"/>
    <mergeCell ref="R24:Z24"/>
    <mergeCell ref="AA24:AB24"/>
    <mergeCell ref="C23:D23"/>
    <mergeCell ref="AL18:AN19"/>
    <mergeCell ref="B19:E19"/>
    <mergeCell ref="B2:AN2"/>
    <mergeCell ref="B4:AN4"/>
    <mergeCell ref="B5:B6"/>
    <mergeCell ref="C5:C6"/>
    <mergeCell ref="D5:D6"/>
    <mergeCell ref="E5:E6"/>
    <mergeCell ref="B7:B8"/>
    <mergeCell ref="B9:B10"/>
    <mergeCell ref="B11:B12"/>
    <mergeCell ref="B13:B14"/>
    <mergeCell ref="B15:B16"/>
    <mergeCell ref="C7:C8"/>
    <mergeCell ref="B17:E17"/>
    <mergeCell ref="B18:E18"/>
  </mergeCells>
  <phoneticPr fontId="2" type="noConversion"/>
  <conditionalFormatting sqref="B23">
    <cfRule type="containsText" dxfId="23" priority="3" stopIfTrue="1" operator="containsText" text="HD">
      <formula>NOT(ISERROR(SEARCH("HD",B23)))</formula>
    </cfRule>
    <cfRule type="containsText" dxfId="22" priority="4" operator="containsText" text="A">
      <formula>NOT(ISERROR(SEARCH("A",B23)))</formula>
    </cfRule>
    <cfRule type="containsText" dxfId="21" priority="5" operator="containsText" text="WO">
      <formula>NOT(ISERROR(SEARCH("WO",B23)))</formula>
    </cfRule>
  </conditionalFormatting>
  <conditionalFormatting sqref="F7:AJ14 F15 U15:AJ16">
    <cfRule type="containsText" dxfId="20" priority="2" operator="containsText" text="A">
      <formula>NOT(ISERROR(SEARCH("A",F7)))</formula>
    </cfRule>
    <cfRule type="cellIs" dxfId="19" priority="8" stopIfTrue="1" operator="equal">
      <formula>"W/O"</formula>
    </cfRule>
  </conditionalFormatting>
  <conditionalFormatting sqref="F7:AJ16">
    <cfRule type="containsText" dxfId="18" priority="1" operator="containsText" text="HD">
      <formula>NOT(ISERROR(SEARCH("HD",F7)))</formula>
    </cfRule>
  </conditionalFormatting>
  <conditionalFormatting sqref="F18:AJ18">
    <cfRule type="cellIs" dxfId="17" priority="6" stopIfTrue="1" operator="equal">
      <formula>5</formula>
    </cfRule>
    <cfRule type="cellIs" dxfId="16" priority="7" operator="lessThan">
      <formula>4</formula>
    </cfRule>
  </conditionalFormatting>
  <pageMargins left="0.25" right="0.25" top="0.25" bottom="0.25" header="0.05" footer="0.05"/>
  <pageSetup scale="44" orientation="landscape" r:id="rId1"/>
  <colBreaks count="1" manualBreakCount="1"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81F02-4373-4361-A4EB-7FA3880C82F3}">
  <sheetPr>
    <pageSetUpPr fitToPage="1"/>
  </sheetPr>
  <dimension ref="B1:AN23"/>
  <sheetViews>
    <sheetView tabSelected="1" topLeftCell="A6" zoomScaleNormal="100" zoomScaleSheetLayoutView="100" workbookViewId="0">
      <selection activeCell="AH14" sqref="AH14"/>
    </sheetView>
  </sheetViews>
  <sheetFormatPr defaultColWidth="9.140625" defaultRowHeight="50.1" customHeight="1" x14ac:dyDescent="0.25"/>
  <cols>
    <col min="1" max="1" width="3.85546875" style="1" customWidth="1"/>
    <col min="2" max="2" width="5.7109375" style="7" customWidth="1"/>
    <col min="3" max="3" width="7.7109375" style="1" customWidth="1"/>
    <col min="4" max="4" width="19" style="1" bestFit="1" customWidth="1"/>
    <col min="5" max="5" width="12.7109375" style="1" customWidth="1"/>
    <col min="6" max="6" width="6" style="7" customWidth="1"/>
    <col min="7" max="33" width="6" style="7" bestFit="1" customWidth="1"/>
    <col min="34" max="35" width="6" style="7" customWidth="1"/>
    <col min="36" max="36" width="8.42578125" style="9" bestFit="1" customWidth="1"/>
    <col min="37" max="37" width="8.28515625" style="9" bestFit="1" customWidth="1"/>
    <col min="38" max="38" width="8.28515625" style="9" customWidth="1"/>
    <col min="39" max="39" width="8.28515625" style="9" bestFit="1" customWidth="1"/>
    <col min="40" max="40" width="3.85546875" style="1" customWidth="1"/>
    <col min="41" max="16384" width="9.140625" style="1"/>
  </cols>
  <sheetData>
    <row r="1" spans="2:40" ht="50.1" customHeight="1" thickBot="1" x14ac:dyDescent="0.3"/>
    <row r="2" spans="2:40" ht="50.1" customHeight="1" x14ac:dyDescent="0.25">
      <c r="B2" s="70" t="s">
        <v>20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2"/>
    </row>
    <row r="3" spans="2:40" ht="50.1" customHeight="1" thickBot="1" x14ac:dyDescent="0.3">
      <c r="B3" s="73" t="s">
        <v>42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5"/>
    </row>
    <row r="4" spans="2:40" ht="50.1" customHeight="1" thickBot="1" x14ac:dyDescent="0.3">
      <c r="B4" s="187" t="s">
        <v>47</v>
      </c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9"/>
    </row>
    <row r="5" spans="2:40" ht="50.1" customHeight="1" x14ac:dyDescent="0.25">
      <c r="B5" s="82" t="s">
        <v>0</v>
      </c>
      <c r="C5" s="78" t="s">
        <v>13</v>
      </c>
      <c r="D5" s="185" t="s">
        <v>12</v>
      </c>
      <c r="E5" s="78" t="s">
        <v>15</v>
      </c>
      <c r="F5" s="58">
        <v>1</v>
      </c>
      <c r="G5" s="58">
        <v>2</v>
      </c>
      <c r="H5" s="58">
        <v>3</v>
      </c>
      <c r="I5" s="58">
        <v>4</v>
      </c>
      <c r="J5" s="58">
        <v>5</v>
      </c>
      <c r="K5" s="58">
        <v>6</v>
      </c>
      <c r="L5" s="58">
        <v>7</v>
      </c>
      <c r="M5" s="58">
        <v>8</v>
      </c>
      <c r="N5" s="58">
        <v>9</v>
      </c>
      <c r="O5" s="58">
        <v>10</v>
      </c>
      <c r="P5" s="58">
        <v>11</v>
      </c>
      <c r="Q5" s="58">
        <v>12</v>
      </c>
      <c r="R5" s="58">
        <v>13</v>
      </c>
      <c r="S5" s="162">
        <v>14</v>
      </c>
      <c r="T5" s="58">
        <v>15</v>
      </c>
      <c r="U5" s="58">
        <v>16</v>
      </c>
      <c r="V5" s="58">
        <v>17</v>
      </c>
      <c r="W5" s="58">
        <v>18</v>
      </c>
      <c r="X5" s="58">
        <v>19</v>
      </c>
      <c r="Y5" s="58">
        <v>20</v>
      </c>
      <c r="Z5" s="162">
        <v>21</v>
      </c>
      <c r="AA5" s="58">
        <v>22</v>
      </c>
      <c r="AB5" s="58">
        <v>23</v>
      </c>
      <c r="AC5" s="58">
        <v>24</v>
      </c>
      <c r="AD5" s="58">
        <v>25</v>
      </c>
      <c r="AE5" s="58">
        <v>26</v>
      </c>
      <c r="AF5" s="58">
        <v>27</v>
      </c>
      <c r="AG5" s="162">
        <v>28</v>
      </c>
      <c r="AH5" s="58">
        <v>29</v>
      </c>
      <c r="AI5" s="58">
        <v>30</v>
      </c>
      <c r="AJ5" s="3"/>
      <c r="AK5" s="3"/>
      <c r="AL5" s="25"/>
      <c r="AM5" s="4"/>
    </row>
    <row r="6" spans="2:40" ht="89.25" thickBot="1" x14ac:dyDescent="0.3">
      <c r="B6" s="83"/>
      <c r="C6" s="184"/>
      <c r="D6" s="186"/>
      <c r="E6" s="184"/>
      <c r="F6" s="18" t="s">
        <v>7</v>
      </c>
      <c r="G6" s="18" t="s">
        <v>8</v>
      </c>
      <c r="H6" s="18" t="s">
        <v>2</v>
      </c>
      <c r="I6" s="18" t="s">
        <v>3</v>
      </c>
      <c r="J6" s="18" t="s">
        <v>4</v>
      </c>
      <c r="K6" s="18" t="s">
        <v>5</v>
      </c>
      <c r="L6" s="18" t="s">
        <v>6</v>
      </c>
      <c r="M6" s="18" t="s">
        <v>7</v>
      </c>
      <c r="N6" s="18" t="s">
        <v>8</v>
      </c>
      <c r="O6" s="18" t="s">
        <v>2</v>
      </c>
      <c r="P6" s="18" t="s">
        <v>3</v>
      </c>
      <c r="Q6" s="18" t="s">
        <v>4</v>
      </c>
      <c r="R6" s="18" t="s">
        <v>5</v>
      </c>
      <c r="S6" s="161" t="s">
        <v>6</v>
      </c>
      <c r="T6" s="18" t="s">
        <v>7</v>
      </c>
      <c r="U6" s="18" t="s">
        <v>8</v>
      </c>
      <c r="V6" s="18" t="s">
        <v>2</v>
      </c>
      <c r="W6" s="18" t="s">
        <v>3</v>
      </c>
      <c r="X6" s="18" t="s">
        <v>4</v>
      </c>
      <c r="Y6" s="18" t="s">
        <v>5</v>
      </c>
      <c r="Z6" s="161" t="s">
        <v>6</v>
      </c>
      <c r="AA6" s="18" t="s">
        <v>7</v>
      </c>
      <c r="AB6" s="18" t="s">
        <v>8</v>
      </c>
      <c r="AC6" s="18" t="s">
        <v>2</v>
      </c>
      <c r="AD6" s="18" t="s">
        <v>3</v>
      </c>
      <c r="AE6" s="18" t="s">
        <v>4</v>
      </c>
      <c r="AF6" s="18" t="s">
        <v>5</v>
      </c>
      <c r="AG6" s="161" t="s">
        <v>6</v>
      </c>
      <c r="AH6" s="18" t="s">
        <v>7</v>
      </c>
      <c r="AI6" s="18" t="s">
        <v>8</v>
      </c>
      <c r="AJ6" s="12" t="s">
        <v>19</v>
      </c>
      <c r="AK6" s="13" t="s">
        <v>10</v>
      </c>
      <c r="AL6" s="26" t="s">
        <v>23</v>
      </c>
      <c r="AM6" s="14" t="s">
        <v>11</v>
      </c>
    </row>
    <row r="7" spans="2:40" ht="39.950000000000003" customHeight="1" thickBot="1" x14ac:dyDescent="0.3">
      <c r="B7" s="82">
        <v>1</v>
      </c>
      <c r="C7" s="85">
        <v>3762</v>
      </c>
      <c r="D7" s="120" t="s">
        <v>44</v>
      </c>
      <c r="E7" s="131" t="s">
        <v>22</v>
      </c>
      <c r="F7" s="123" t="s">
        <v>25</v>
      </c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5"/>
      <c r="U7" s="58" t="s">
        <v>9</v>
      </c>
      <c r="V7" s="58" t="s">
        <v>9</v>
      </c>
      <c r="W7" s="58" t="s">
        <v>9</v>
      </c>
      <c r="X7" s="58" t="s">
        <v>9</v>
      </c>
      <c r="Y7" s="58" t="s">
        <v>9</v>
      </c>
      <c r="Z7" s="56" t="s">
        <v>1</v>
      </c>
      <c r="AA7" s="58" t="s">
        <v>9</v>
      </c>
      <c r="AB7" s="61" t="s">
        <v>16</v>
      </c>
      <c r="AC7" s="58" t="s">
        <v>9</v>
      </c>
      <c r="AD7" s="58" t="s">
        <v>9</v>
      </c>
      <c r="AE7" s="58" t="s">
        <v>9</v>
      </c>
      <c r="AF7" s="58" t="s">
        <v>9</v>
      </c>
      <c r="AG7" s="20" t="s">
        <v>1</v>
      </c>
      <c r="AH7" s="58" t="s">
        <v>9</v>
      </c>
      <c r="AI7" s="58" t="s">
        <v>9</v>
      </c>
      <c r="AJ7" s="3">
        <f>COUNTIF(N7:AI7,"P")</f>
        <v>12</v>
      </c>
      <c r="AK7" s="3">
        <f>COUNTIF(F7:AI7,"W/O")</f>
        <v>2</v>
      </c>
      <c r="AL7" s="27">
        <f>COUNTIF(G7:AJ7,"HD+P")</f>
        <v>0</v>
      </c>
      <c r="AM7" s="137">
        <f>SUM(AJ7:AL8)</f>
        <v>15</v>
      </c>
    </row>
    <row r="8" spans="2:40" ht="39.950000000000003" customHeight="1" thickBot="1" x14ac:dyDescent="0.3">
      <c r="B8" s="83"/>
      <c r="C8" s="86"/>
      <c r="D8" s="121"/>
      <c r="E8" s="132"/>
      <c r="F8" s="126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8"/>
      <c r="U8" s="55"/>
      <c r="V8" s="55"/>
      <c r="W8" s="55"/>
      <c r="X8" s="159"/>
      <c r="Y8" s="55"/>
      <c r="Z8" s="163"/>
      <c r="AA8" s="55"/>
      <c r="AB8" s="55"/>
      <c r="AC8" s="55"/>
      <c r="AD8" s="55"/>
      <c r="AE8" s="159"/>
      <c r="AF8" s="55"/>
      <c r="AG8" s="162" t="s">
        <v>9</v>
      </c>
      <c r="AH8" s="55"/>
      <c r="AI8" s="55"/>
      <c r="AJ8" s="48">
        <f>COUNTIF(F8:AI8,"P")</f>
        <v>1</v>
      </c>
      <c r="AK8" s="48">
        <f>COUNTIF(F8:AI8,"W/O")</f>
        <v>0</v>
      </c>
      <c r="AL8" s="48">
        <f>COUNTIF(G8:AJ8,"HD")</f>
        <v>0</v>
      </c>
      <c r="AM8" s="138"/>
    </row>
    <row r="9" spans="2:40" ht="39.950000000000003" customHeight="1" thickBot="1" x14ac:dyDescent="0.3">
      <c r="B9" s="82">
        <v>2</v>
      </c>
      <c r="C9" s="118">
        <v>3764</v>
      </c>
      <c r="D9" s="120" t="s">
        <v>45</v>
      </c>
      <c r="E9" s="131" t="s">
        <v>22</v>
      </c>
      <c r="F9" s="123" t="s">
        <v>25</v>
      </c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5"/>
      <c r="U9" s="58" t="s">
        <v>9</v>
      </c>
      <c r="V9" s="56" t="s">
        <v>16</v>
      </c>
      <c r="W9" s="58" t="s">
        <v>9</v>
      </c>
      <c r="X9" s="58" t="s">
        <v>9</v>
      </c>
      <c r="Y9" s="58" t="s">
        <v>9</v>
      </c>
      <c r="Z9" s="56" t="s">
        <v>1</v>
      </c>
      <c r="AA9" s="58" t="s">
        <v>9</v>
      </c>
      <c r="AB9" s="56" t="s">
        <v>9</v>
      </c>
      <c r="AC9" s="56" t="s">
        <v>9</v>
      </c>
      <c r="AD9" s="56" t="s">
        <v>9</v>
      </c>
      <c r="AE9" s="56" t="s">
        <v>9</v>
      </c>
      <c r="AF9" s="56" t="s">
        <v>9</v>
      </c>
      <c r="AG9" s="20" t="s">
        <v>1</v>
      </c>
      <c r="AH9" s="58" t="s">
        <v>9</v>
      </c>
      <c r="AI9" s="58" t="s">
        <v>9</v>
      </c>
      <c r="AJ9" s="28">
        <f>COUNTIF(F9:AI9,"P")</f>
        <v>12</v>
      </c>
      <c r="AK9" s="28">
        <f>COUNTIF(F9:AI9,"W/O")</f>
        <v>2</v>
      </c>
      <c r="AL9" s="28">
        <f>COUNTIF(G9:AJ9,"HD")</f>
        <v>0</v>
      </c>
      <c r="AM9" s="137">
        <f>SUM(AJ9:AL10)</f>
        <v>16</v>
      </c>
    </row>
    <row r="10" spans="2:40" ht="39.950000000000003" customHeight="1" x14ac:dyDescent="0.25">
      <c r="B10" s="183"/>
      <c r="C10" s="182"/>
      <c r="D10" s="181"/>
      <c r="E10" s="180"/>
      <c r="F10" s="190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2"/>
      <c r="U10" s="57"/>
      <c r="V10" s="57"/>
      <c r="W10" s="57"/>
      <c r="X10" s="158"/>
      <c r="Y10" s="57"/>
      <c r="Z10" s="162" t="s">
        <v>9</v>
      </c>
      <c r="AA10" s="57"/>
      <c r="AB10" s="57"/>
      <c r="AC10" s="57"/>
      <c r="AD10" s="57"/>
      <c r="AE10" s="158"/>
      <c r="AF10" s="57"/>
      <c r="AG10" s="162" t="s">
        <v>9</v>
      </c>
      <c r="AH10" s="57"/>
      <c r="AI10" s="57"/>
      <c r="AJ10" s="51">
        <f>COUNTIF(F10:AI10,"P")</f>
        <v>2</v>
      </c>
      <c r="AK10" s="51">
        <f>COUNTIF(F10:AI10,"W/O")</f>
        <v>0</v>
      </c>
      <c r="AL10" s="51">
        <f>COUNTIF(G10:AJ10,"HD")</f>
        <v>0</v>
      </c>
      <c r="AM10" s="179"/>
    </row>
    <row r="11" spans="2:40" s="7" customFormat="1" ht="39.950000000000003" customHeight="1" x14ac:dyDescent="0.25">
      <c r="B11" s="89" t="s">
        <v>17</v>
      </c>
      <c r="C11" s="90"/>
      <c r="D11" s="90"/>
      <c r="E11" s="167"/>
      <c r="F11" s="6">
        <f>COUNTIF(F7:F10,"P")</f>
        <v>0</v>
      </c>
      <c r="G11" s="6">
        <f>COUNTIF(G7:G10,"P")</f>
        <v>0</v>
      </c>
      <c r="H11" s="6">
        <f>COUNTIF(H7:H10,"P")</f>
        <v>0</v>
      </c>
      <c r="I11" s="6">
        <f>COUNTIF(I7:I10,"P")</f>
        <v>0</v>
      </c>
      <c r="J11" s="21">
        <f>COUNTIF(J7:J10,"P")</f>
        <v>0</v>
      </c>
      <c r="K11" s="6">
        <f>COUNTIF(K7:K10,"P")</f>
        <v>0</v>
      </c>
      <c r="L11" s="6">
        <f>COUNTIF(L7:L10,"P")</f>
        <v>0</v>
      </c>
      <c r="M11" s="6">
        <f>COUNTIF(M7:M10,"P")</f>
        <v>0</v>
      </c>
      <c r="N11" s="6">
        <f>COUNTIF(N7:N10,"P")</f>
        <v>0</v>
      </c>
      <c r="O11" s="6">
        <f>COUNTIF(O7:O10,"P")</f>
        <v>0</v>
      </c>
      <c r="P11" s="6">
        <f>COUNTIF(P7:P10,"P")</f>
        <v>0</v>
      </c>
      <c r="Q11" s="21">
        <f>COUNTIF(Q7:Q10,"P")</f>
        <v>0</v>
      </c>
      <c r="R11" s="6">
        <f>COUNTIF(R7:R10,"P")</f>
        <v>0</v>
      </c>
      <c r="S11" s="6">
        <f>COUNTIF(S7:S10,"P")</f>
        <v>0</v>
      </c>
      <c r="T11" s="6">
        <f>COUNTIF(T7:T10,"P")</f>
        <v>0</v>
      </c>
      <c r="U11" s="6">
        <f>COUNTIF(U7:U10,"P")</f>
        <v>2</v>
      </c>
      <c r="V11" s="6">
        <f>COUNTIF(V7:V10,"P")</f>
        <v>1</v>
      </c>
      <c r="W11" s="6">
        <f>COUNTIF(W7:W10,"P")</f>
        <v>2</v>
      </c>
      <c r="X11" s="21">
        <f>COUNTIF(X7:X10,"P")</f>
        <v>2</v>
      </c>
      <c r="Y11" s="6">
        <f>COUNTIF(Y7:Y10,"P")</f>
        <v>2</v>
      </c>
      <c r="Z11" s="6">
        <f>COUNTIF(Z7:Z10,"P")</f>
        <v>1</v>
      </c>
      <c r="AA11" s="6">
        <f>COUNTIF(AA7:AA10,"P")</f>
        <v>2</v>
      </c>
      <c r="AB11" s="6">
        <f>COUNTIF(AB7:AB10,"P")</f>
        <v>1</v>
      </c>
      <c r="AC11" s="6">
        <f>COUNTIF(AC7:AC10,"P")</f>
        <v>2</v>
      </c>
      <c r="AD11" s="6">
        <f>COUNTIF(AD7:AD10,"P")</f>
        <v>2</v>
      </c>
      <c r="AE11" s="21">
        <f>COUNTIF(AE7:AE10,"P")</f>
        <v>2</v>
      </c>
      <c r="AF11" s="6">
        <f>COUNTIF(AF7:AF10,"P")</f>
        <v>2</v>
      </c>
      <c r="AG11" s="6">
        <f>COUNTIF(AG7:AG10,"P")</f>
        <v>2</v>
      </c>
      <c r="AH11" s="6">
        <f>COUNTIF(AH7:AH10,"P")</f>
        <v>2</v>
      </c>
      <c r="AI11" s="6">
        <f>COUNTIF(AI7:AI10,"P")</f>
        <v>2</v>
      </c>
      <c r="AJ11" s="10">
        <f>SUM(F11:AI11)</f>
        <v>27</v>
      </c>
      <c r="AK11" s="62" t="s">
        <v>21</v>
      </c>
      <c r="AL11" s="63"/>
      <c r="AM11" s="64"/>
    </row>
    <row r="12" spans="2:40" ht="39.950000000000003" customHeight="1" thickBot="1" x14ac:dyDescent="0.3">
      <c r="B12" s="68" t="s">
        <v>14</v>
      </c>
      <c r="C12" s="69"/>
      <c r="D12" s="69"/>
      <c r="E12" s="178"/>
      <c r="F12" s="8">
        <f>SUM(F11:F11)</f>
        <v>0</v>
      </c>
      <c r="G12" s="8">
        <f>SUM(G11:G11)</f>
        <v>0</v>
      </c>
      <c r="H12" s="8">
        <f>SUM(H11:H11)</f>
        <v>0</v>
      </c>
      <c r="I12" s="8">
        <f>SUM(I11:I11)</f>
        <v>0</v>
      </c>
      <c r="J12" s="160">
        <f>SUM(J11:J11)</f>
        <v>0</v>
      </c>
      <c r="K12" s="8">
        <f>SUM(K11:K11)</f>
        <v>0</v>
      </c>
      <c r="L12" s="8">
        <f>SUM(L11:L11)</f>
        <v>0</v>
      </c>
      <c r="M12" s="8">
        <f>SUM(M11:M11)</f>
        <v>0</v>
      </c>
      <c r="N12" s="8">
        <f>SUM(N11:N11)</f>
        <v>0</v>
      </c>
      <c r="O12" s="8">
        <f>SUM(O11:O11)</f>
        <v>0</v>
      </c>
      <c r="P12" s="8">
        <f>SUM(P11:P11)</f>
        <v>0</v>
      </c>
      <c r="Q12" s="160">
        <f>SUM(Q11:Q11)</f>
        <v>0</v>
      </c>
      <c r="R12" s="8">
        <f>SUM(R11:R11)</f>
        <v>0</v>
      </c>
      <c r="S12" s="24">
        <f>SUM(S11:S11)</f>
        <v>0</v>
      </c>
      <c r="T12" s="8">
        <f>SUM(T11:T11)</f>
        <v>0</v>
      </c>
      <c r="U12" s="8">
        <f>SUM(U11:U11)</f>
        <v>2</v>
      </c>
      <c r="V12" s="8">
        <f>SUM(V11:V11)</f>
        <v>1</v>
      </c>
      <c r="W12" s="8">
        <f>SUM(W11:W11)</f>
        <v>2</v>
      </c>
      <c r="X12" s="160">
        <f>SUM(X11:X11)</f>
        <v>2</v>
      </c>
      <c r="Y12" s="8">
        <f>SUM(Y11:Y11)</f>
        <v>2</v>
      </c>
      <c r="Z12" s="24">
        <f>SUM(Z11:Z11)</f>
        <v>1</v>
      </c>
      <c r="AA12" s="8">
        <f>SUM(AA11:AA11)</f>
        <v>2</v>
      </c>
      <c r="AB12" s="8">
        <f>SUM(AB11:AB11)</f>
        <v>1</v>
      </c>
      <c r="AC12" s="8">
        <f>SUM(AC11:AC11)</f>
        <v>2</v>
      </c>
      <c r="AD12" s="8">
        <f>SUM(AD11:AD11)</f>
        <v>2</v>
      </c>
      <c r="AE12" s="160">
        <f>SUM(AE11:AE11)</f>
        <v>2</v>
      </c>
      <c r="AF12" s="8">
        <f>SUM(AF11:AF11)</f>
        <v>2</v>
      </c>
      <c r="AG12" s="24">
        <f>SUM(AG11:AG11)</f>
        <v>2</v>
      </c>
      <c r="AH12" s="8">
        <f>SUM(AH11:AH11)</f>
        <v>2</v>
      </c>
      <c r="AI12" s="8">
        <f>SUM(AI11:AI11)</f>
        <v>2</v>
      </c>
      <c r="AJ12" s="11">
        <f>SUM(F12:AI12)</f>
        <v>27</v>
      </c>
      <c r="AK12" s="65"/>
      <c r="AL12" s="66"/>
      <c r="AM12" s="67"/>
    </row>
    <row r="13" spans="2:40" ht="50.1" customHeight="1" thickBot="1" x14ac:dyDescent="0.3"/>
    <row r="14" spans="2:40" s="29" customFormat="1" ht="39.950000000000003" customHeight="1" thickBot="1" x14ac:dyDescent="0.3">
      <c r="B14" s="30" t="s">
        <v>24</v>
      </c>
      <c r="C14" s="99" t="s">
        <v>25</v>
      </c>
      <c r="D14" s="100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170" t="s">
        <v>46</v>
      </c>
      <c r="S14" s="171"/>
      <c r="T14" s="171"/>
      <c r="U14" s="171"/>
      <c r="V14" s="171"/>
      <c r="W14" s="171"/>
      <c r="X14" s="171"/>
      <c r="Y14" s="171"/>
      <c r="Z14" s="172"/>
      <c r="AA14" s="176">
        <f>SUM(AM7:AM10)</f>
        <v>31</v>
      </c>
      <c r="AB14" s="177"/>
      <c r="AC14" s="32"/>
      <c r="AD14" s="32"/>
      <c r="AE14" s="32"/>
      <c r="AF14" s="32"/>
      <c r="AG14" s="32"/>
      <c r="AH14" s="32"/>
      <c r="AI14" s="32"/>
      <c r="AJ14" s="33"/>
      <c r="AK14" s="34"/>
      <c r="AL14" s="33"/>
      <c r="AM14" s="33"/>
      <c r="AN14" s="33"/>
    </row>
    <row r="15" spans="2:40" s="29" customFormat="1" ht="39.950000000000003" customHeight="1" thickBot="1" x14ac:dyDescent="0.3">
      <c r="B15" s="52" t="s">
        <v>1</v>
      </c>
      <c r="C15" s="129" t="s">
        <v>10</v>
      </c>
      <c r="D15" s="130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173" t="s">
        <v>31</v>
      </c>
      <c r="S15" s="174"/>
      <c r="T15" s="174"/>
      <c r="U15" s="174"/>
      <c r="V15" s="174"/>
      <c r="W15" s="174"/>
      <c r="X15" s="175"/>
      <c r="Y15" s="59">
        <v>2</v>
      </c>
      <c r="Z15" s="60">
        <v>31</v>
      </c>
      <c r="AA15" s="168">
        <f>Y15*Z15</f>
        <v>62</v>
      </c>
      <c r="AB15" s="169"/>
      <c r="AC15" s="37"/>
      <c r="AD15" s="32"/>
      <c r="AE15" s="32"/>
      <c r="AF15" s="32"/>
      <c r="AG15" s="32"/>
      <c r="AH15" s="32"/>
      <c r="AI15" s="32"/>
      <c r="AJ15" s="33"/>
      <c r="AK15" s="34"/>
      <c r="AL15" s="33"/>
      <c r="AM15" s="33"/>
      <c r="AN15" s="33"/>
    </row>
    <row r="16" spans="2:40" s="29" customFormat="1" ht="39.950000000000003" customHeight="1" thickBot="1" x14ac:dyDescent="0.3">
      <c r="B16" s="40" t="s">
        <v>23</v>
      </c>
      <c r="C16" s="116" t="s">
        <v>40</v>
      </c>
      <c r="D16" s="117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170" t="s">
        <v>43</v>
      </c>
      <c r="S16" s="171"/>
      <c r="T16" s="171"/>
      <c r="U16" s="171"/>
      <c r="V16" s="171"/>
      <c r="W16" s="171"/>
      <c r="X16" s="171"/>
      <c r="Y16" s="171"/>
      <c r="Z16" s="172"/>
      <c r="AA16" s="168">
        <f>AA15-AA14</f>
        <v>31</v>
      </c>
      <c r="AB16" s="169"/>
      <c r="AC16" s="38"/>
      <c r="AD16" s="37"/>
      <c r="AE16" s="32"/>
      <c r="AF16" s="32"/>
      <c r="AG16" s="32"/>
      <c r="AH16" s="32"/>
      <c r="AI16" s="32"/>
      <c r="AJ16" s="33"/>
      <c r="AK16" s="33"/>
      <c r="AL16" s="33"/>
      <c r="AM16" s="33"/>
      <c r="AN16" s="33"/>
    </row>
    <row r="17" spans="2:40" s="29" customFormat="1" ht="39.950000000000003" customHeight="1" thickBot="1" x14ac:dyDescent="0.3">
      <c r="B17" s="35" t="s">
        <v>26</v>
      </c>
      <c r="C17" s="91" t="s">
        <v>27</v>
      </c>
      <c r="D17" s="92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164" t="s">
        <v>32</v>
      </c>
      <c r="S17" s="165"/>
      <c r="T17" s="165"/>
      <c r="U17" s="165"/>
      <c r="V17" s="165"/>
      <c r="W17" s="165"/>
      <c r="X17" s="165"/>
      <c r="Y17" s="165"/>
      <c r="Z17" s="166"/>
      <c r="AA17" s="114">
        <f>AA14/AA15*100</f>
        <v>50</v>
      </c>
      <c r="AB17" s="115"/>
      <c r="AD17" s="38"/>
      <c r="AE17" s="38"/>
      <c r="AF17" s="38"/>
      <c r="AG17" s="38"/>
      <c r="AH17" s="38"/>
      <c r="AI17" s="38"/>
      <c r="AJ17" s="33"/>
      <c r="AK17" s="33"/>
      <c r="AL17" s="33"/>
      <c r="AM17" s="33"/>
      <c r="AN17" s="33"/>
    </row>
    <row r="18" spans="2:40" s="29" customFormat="1" ht="39.950000000000003" customHeight="1" thickBot="1" x14ac:dyDescent="0.3">
      <c r="B18" s="36" t="s">
        <v>26</v>
      </c>
      <c r="C18" s="91" t="s">
        <v>29</v>
      </c>
      <c r="D18" s="92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45"/>
      <c r="X18" s="45"/>
      <c r="Y18" s="45"/>
      <c r="Z18" s="45"/>
      <c r="AA18" s="45"/>
      <c r="AB18" s="45"/>
      <c r="AC18" s="43"/>
      <c r="AE18" s="37"/>
      <c r="AF18" s="37"/>
      <c r="AG18" s="37"/>
      <c r="AH18" s="37"/>
      <c r="AI18" s="37"/>
      <c r="AJ18" s="39"/>
      <c r="AK18" s="39"/>
      <c r="AL18" s="39"/>
      <c r="AM18" s="39"/>
      <c r="AN18" s="39"/>
    </row>
    <row r="19" spans="2:40" s="29" customFormat="1" ht="39.950000000000003" customHeight="1" thickBot="1" x14ac:dyDescent="0.3">
      <c r="B19" s="30"/>
      <c r="C19" s="93" t="s">
        <v>30</v>
      </c>
      <c r="D19" s="94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45"/>
      <c r="X19" s="45"/>
      <c r="Y19" s="45"/>
      <c r="Z19" s="45"/>
      <c r="AA19" s="45"/>
      <c r="AB19" s="45"/>
      <c r="AC19" s="45"/>
      <c r="AD19" s="43"/>
      <c r="AE19" s="37"/>
      <c r="AF19" s="37"/>
      <c r="AG19" s="37"/>
      <c r="AH19" s="37"/>
      <c r="AI19" s="37"/>
      <c r="AJ19" s="39"/>
      <c r="AK19" s="39"/>
      <c r="AL19" s="39"/>
      <c r="AM19" s="39"/>
      <c r="AN19" s="39"/>
    </row>
    <row r="20" spans="2:40" s="29" customFormat="1" ht="50.1" customHeight="1" x14ac:dyDescent="0.25"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45"/>
      <c r="AD20" s="45"/>
      <c r="AE20" s="45"/>
      <c r="AF20" s="45"/>
      <c r="AG20" s="45"/>
      <c r="AH20" s="45"/>
      <c r="AI20" s="45"/>
      <c r="AJ20" s="33"/>
      <c r="AK20" s="33"/>
      <c r="AL20" s="33"/>
      <c r="AM20" s="33"/>
      <c r="AN20" s="33"/>
    </row>
    <row r="21" spans="2:40" s="29" customFormat="1" ht="50.1" customHeight="1" x14ac:dyDescent="0.25">
      <c r="B21" s="7"/>
      <c r="C21" s="1"/>
      <c r="D21" s="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45"/>
      <c r="AE21" s="45"/>
      <c r="AF21" s="45"/>
      <c r="AG21" s="45"/>
      <c r="AH21" s="45"/>
      <c r="AI21" s="45"/>
      <c r="AJ21" s="33"/>
      <c r="AK21" s="33"/>
      <c r="AL21" s="33"/>
      <c r="AM21" s="33"/>
      <c r="AN21" s="33"/>
    </row>
    <row r="22" spans="2:40" ht="50.1" customHeight="1" x14ac:dyDescent="0.25">
      <c r="B22" s="31"/>
      <c r="C22" s="31"/>
      <c r="D22" s="44"/>
    </row>
    <row r="23" spans="2:40" ht="50.1" customHeight="1" x14ac:dyDescent="0.25">
      <c r="B23" s="31"/>
      <c r="C23" s="31"/>
      <c r="D23" s="44"/>
    </row>
  </sheetData>
  <mergeCells count="36">
    <mergeCell ref="B2:AM2"/>
    <mergeCell ref="B3:AM3"/>
    <mergeCell ref="B4:AM4"/>
    <mergeCell ref="B5:B6"/>
    <mergeCell ref="C5:C6"/>
    <mergeCell ref="D5:D6"/>
    <mergeCell ref="E5:E6"/>
    <mergeCell ref="B7:B8"/>
    <mergeCell ref="C7:C8"/>
    <mergeCell ref="D7:D8"/>
    <mergeCell ref="E7:E8"/>
    <mergeCell ref="AM7:AM8"/>
    <mergeCell ref="B9:B10"/>
    <mergeCell ref="C9:C10"/>
    <mergeCell ref="D9:D10"/>
    <mergeCell ref="E9:E10"/>
    <mergeCell ref="AM9:AM10"/>
    <mergeCell ref="F7:T8"/>
    <mergeCell ref="F9:T10"/>
    <mergeCell ref="AK11:AM12"/>
    <mergeCell ref="B12:E12"/>
    <mergeCell ref="C14:D14"/>
    <mergeCell ref="R14:Z14"/>
    <mergeCell ref="AA14:AB14"/>
    <mergeCell ref="C15:D15"/>
    <mergeCell ref="R15:X15"/>
    <mergeCell ref="AA15:AB15"/>
    <mergeCell ref="C16:D16"/>
    <mergeCell ref="R16:Z16"/>
    <mergeCell ref="AA16:AB16"/>
    <mergeCell ref="B11:E11"/>
    <mergeCell ref="C17:D17"/>
    <mergeCell ref="R17:Z17"/>
    <mergeCell ref="AA17:AB17"/>
    <mergeCell ref="C18:D18"/>
    <mergeCell ref="C19:D19"/>
  </mergeCells>
  <phoneticPr fontId="2" type="noConversion"/>
  <conditionalFormatting sqref="B16">
    <cfRule type="containsText" dxfId="15" priority="3" stopIfTrue="1" operator="containsText" text="HD">
      <formula>NOT(ISERROR(SEARCH("HD",B16)))</formula>
    </cfRule>
    <cfRule type="containsText" dxfId="14" priority="4" operator="containsText" text="A">
      <formula>NOT(ISERROR(SEARCH("A",B16)))</formula>
    </cfRule>
    <cfRule type="containsText" dxfId="13" priority="5" operator="containsText" text="WO">
      <formula>NOT(ISERROR(SEARCH("WO",B16)))</formula>
    </cfRule>
  </conditionalFormatting>
  <conditionalFormatting sqref="F7 F9 U7:AI10">
    <cfRule type="containsText" dxfId="12" priority="1" operator="containsText" text="HD">
      <formula>NOT(ISERROR(SEARCH("HD",F7)))</formula>
    </cfRule>
    <cfRule type="containsText" dxfId="11" priority="2" operator="containsText" text="A">
      <formula>NOT(ISERROR(SEARCH("A",F7)))</formula>
    </cfRule>
    <cfRule type="cellIs" dxfId="10" priority="8" stopIfTrue="1" operator="equal">
      <formula>"W/O"</formula>
    </cfRule>
  </conditionalFormatting>
  <conditionalFormatting sqref="F11:AI11">
    <cfRule type="cellIs" dxfId="9" priority="6" stopIfTrue="1" operator="equal">
      <formula>5</formula>
    </cfRule>
    <cfRule type="cellIs" dxfId="8" priority="7" operator="lessThan">
      <formula>4</formula>
    </cfRule>
  </conditionalFormatting>
  <pageMargins left="0.25" right="0.25" top="0.25" bottom="0.25" header="0.05" footer="0.05"/>
  <pageSetup scale="51" orientation="landscape" r:id="rId1"/>
  <colBreaks count="1" manualBreakCount="1">
    <brk id="3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8034F-7298-4944-B8D9-0263CA2070B2}">
  <sheetPr>
    <pageSetUpPr fitToPage="1"/>
  </sheetPr>
  <dimension ref="B1:AO30"/>
  <sheetViews>
    <sheetView topLeftCell="A3" zoomScaleNormal="100" zoomScaleSheetLayoutView="100" workbookViewId="0">
      <selection activeCell="H14" sqref="H14"/>
    </sheetView>
  </sheetViews>
  <sheetFormatPr defaultColWidth="9.140625" defaultRowHeight="24.95" customHeight="1" x14ac:dyDescent="0.25"/>
  <cols>
    <col min="1" max="1" width="3.85546875" style="1" customWidth="1"/>
    <col min="2" max="2" width="5.7109375" style="7" customWidth="1"/>
    <col min="3" max="3" width="7.7109375" style="1" customWidth="1"/>
    <col min="4" max="4" width="19" style="1" bestFit="1" customWidth="1"/>
    <col min="5" max="5" width="12.7109375" style="1" customWidth="1"/>
    <col min="6" max="33" width="6" style="7" bestFit="1" customWidth="1"/>
    <col min="34" max="35" width="6" style="7" customWidth="1"/>
    <col min="36" max="36" width="6" style="7" bestFit="1" customWidth="1"/>
    <col min="37" max="37" width="7.42578125" style="9" bestFit="1" customWidth="1"/>
    <col min="38" max="38" width="8.28515625" style="9" bestFit="1" customWidth="1"/>
    <col min="39" max="39" width="8.28515625" style="9" customWidth="1"/>
    <col min="40" max="40" width="8.28515625" style="9" bestFit="1" customWidth="1"/>
    <col min="41" max="41" width="3.85546875" style="1" customWidth="1"/>
    <col min="42" max="16384" width="9.140625" style="1"/>
  </cols>
  <sheetData>
    <row r="1" spans="2:40" ht="24.95" customHeight="1" thickBot="1" x14ac:dyDescent="0.3"/>
    <row r="2" spans="2:40" ht="46.5" customHeight="1" x14ac:dyDescent="0.25">
      <c r="B2" s="70" t="s">
        <v>20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2"/>
    </row>
    <row r="3" spans="2:40" ht="46.5" customHeight="1" thickBot="1" x14ac:dyDescent="0.3">
      <c r="B3" s="73" t="s">
        <v>18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5"/>
    </row>
    <row r="4" spans="2:40" ht="24.95" customHeight="1" x14ac:dyDescent="0.25">
      <c r="B4" s="76" t="s">
        <v>0</v>
      </c>
      <c r="C4" s="78" t="s">
        <v>13</v>
      </c>
      <c r="D4" s="80" t="s">
        <v>12</v>
      </c>
      <c r="E4" s="78" t="s">
        <v>15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2">
        <v>6</v>
      </c>
      <c r="L4" s="2">
        <v>7</v>
      </c>
      <c r="M4" s="2">
        <v>8</v>
      </c>
      <c r="N4" s="2">
        <v>9</v>
      </c>
      <c r="O4" s="2">
        <v>10</v>
      </c>
      <c r="P4" s="2">
        <v>11</v>
      </c>
      <c r="Q4" s="2">
        <v>12</v>
      </c>
      <c r="R4" s="2">
        <v>13</v>
      </c>
      <c r="S4" s="2">
        <v>14</v>
      </c>
      <c r="T4" s="2">
        <v>15</v>
      </c>
      <c r="U4" s="2">
        <v>16</v>
      </c>
      <c r="V4" s="2">
        <v>17</v>
      </c>
      <c r="W4" s="2">
        <v>18</v>
      </c>
      <c r="X4" s="2">
        <v>19</v>
      </c>
      <c r="Y4" s="2">
        <v>20</v>
      </c>
      <c r="Z4" s="2">
        <v>21</v>
      </c>
      <c r="AA4" s="2">
        <v>22</v>
      </c>
      <c r="AB4" s="2">
        <v>23</v>
      </c>
      <c r="AC4" s="2">
        <v>24</v>
      </c>
      <c r="AD4" s="2">
        <v>25</v>
      </c>
      <c r="AE4" s="2">
        <v>26</v>
      </c>
      <c r="AF4" s="2">
        <v>27</v>
      </c>
      <c r="AG4" s="2">
        <v>28</v>
      </c>
      <c r="AH4" s="2">
        <v>29</v>
      </c>
      <c r="AI4" s="2">
        <v>30</v>
      </c>
      <c r="AJ4" s="2" t="s">
        <v>39</v>
      </c>
      <c r="AK4" s="3"/>
      <c r="AL4" s="3"/>
      <c r="AM4" s="25"/>
      <c r="AN4" s="4"/>
    </row>
    <row r="5" spans="2:40" ht="82.5" customHeight="1" thickBot="1" x14ac:dyDescent="0.3">
      <c r="B5" s="77"/>
      <c r="C5" s="79"/>
      <c r="D5" s="81"/>
      <c r="E5" s="79"/>
      <c r="F5" s="18" t="s">
        <v>5</v>
      </c>
      <c r="G5" s="18" t="s">
        <v>6</v>
      </c>
      <c r="H5" s="18" t="s">
        <v>7</v>
      </c>
      <c r="I5" s="18" t="s">
        <v>8</v>
      </c>
      <c r="J5" s="18" t="s">
        <v>2</v>
      </c>
      <c r="K5" s="18" t="s">
        <v>3</v>
      </c>
      <c r="L5" s="18" t="s">
        <v>4</v>
      </c>
      <c r="M5" s="18" t="s">
        <v>5</v>
      </c>
      <c r="N5" s="18" t="s">
        <v>6</v>
      </c>
      <c r="O5" s="18" t="s">
        <v>7</v>
      </c>
      <c r="P5" s="18" t="s">
        <v>8</v>
      </c>
      <c r="Q5" s="18" t="s">
        <v>2</v>
      </c>
      <c r="R5" s="18" t="s">
        <v>3</v>
      </c>
      <c r="S5" s="18" t="s">
        <v>4</v>
      </c>
      <c r="T5" s="18" t="s">
        <v>5</v>
      </c>
      <c r="U5" s="18" t="s">
        <v>6</v>
      </c>
      <c r="V5" s="18" t="s">
        <v>7</v>
      </c>
      <c r="W5" s="18" t="s">
        <v>8</v>
      </c>
      <c r="X5" s="18" t="s">
        <v>2</v>
      </c>
      <c r="Y5" s="18" t="s">
        <v>3</v>
      </c>
      <c r="Z5" s="18" t="s">
        <v>4</v>
      </c>
      <c r="AA5" s="18" t="s">
        <v>5</v>
      </c>
      <c r="AB5" s="18" t="s">
        <v>6</v>
      </c>
      <c r="AC5" s="18" t="s">
        <v>7</v>
      </c>
      <c r="AD5" s="18" t="s">
        <v>8</v>
      </c>
      <c r="AE5" s="18" t="s">
        <v>2</v>
      </c>
      <c r="AF5" s="18" t="s">
        <v>3</v>
      </c>
      <c r="AG5" s="18" t="s">
        <v>4</v>
      </c>
      <c r="AH5" s="18" t="s">
        <v>5</v>
      </c>
      <c r="AI5" s="18" t="s">
        <v>6</v>
      </c>
      <c r="AJ5" s="18" t="s">
        <v>39</v>
      </c>
      <c r="AK5" s="12" t="s">
        <v>19</v>
      </c>
      <c r="AL5" s="13" t="s">
        <v>10</v>
      </c>
      <c r="AM5" s="26" t="s">
        <v>23</v>
      </c>
      <c r="AN5" s="14" t="s">
        <v>11</v>
      </c>
    </row>
    <row r="6" spans="2:40" ht="24.95" customHeight="1" x14ac:dyDescent="0.25">
      <c r="B6" s="82">
        <v>1</v>
      </c>
      <c r="C6" s="85">
        <v>3680</v>
      </c>
      <c r="D6" s="120" t="s">
        <v>34</v>
      </c>
      <c r="E6" s="131" t="s">
        <v>22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 t="s">
        <v>39</v>
      </c>
      <c r="AK6" s="3">
        <f t="shared" ref="AK6:AK15" si="0">COUNTIF(F6:AJ6,"P")</f>
        <v>0</v>
      </c>
      <c r="AL6" s="3">
        <f t="shared" ref="AL6:AL15" si="1">COUNTIF(F6:AJ6,"W/O")</f>
        <v>0</v>
      </c>
      <c r="AM6" s="27">
        <f>COUNTIF(G6:AK6,"HD+P")</f>
        <v>0</v>
      </c>
      <c r="AN6" s="137">
        <f>SUM(AK6:AM7)</f>
        <v>0</v>
      </c>
    </row>
    <row r="7" spans="2:40" ht="24.95" customHeight="1" thickBot="1" x14ac:dyDescent="0.3">
      <c r="B7" s="83"/>
      <c r="C7" s="86"/>
      <c r="D7" s="121"/>
      <c r="E7" s="132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 t="s">
        <v>39</v>
      </c>
      <c r="AK7" s="48">
        <f>COUNTIF(F7:AJ7,"P")</f>
        <v>0</v>
      </c>
      <c r="AL7" s="48">
        <f>COUNTIF(F7:AJ7,"W/O")</f>
        <v>0</v>
      </c>
      <c r="AM7" s="48">
        <f t="shared" ref="AM7:AM16" si="2">COUNTIF(G7:AK7,"HD")</f>
        <v>0</v>
      </c>
      <c r="AN7" s="138"/>
    </row>
    <row r="8" spans="2:40" ht="24.95" customHeight="1" x14ac:dyDescent="0.25">
      <c r="B8" s="84">
        <v>2</v>
      </c>
      <c r="C8" s="140">
        <v>3700</v>
      </c>
      <c r="D8" s="122" t="s">
        <v>35</v>
      </c>
      <c r="E8" s="133" t="s">
        <v>22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 t="s">
        <v>39</v>
      </c>
      <c r="AK8" s="28">
        <f>COUNTIF(F8:AJ8,"P")</f>
        <v>0</v>
      </c>
      <c r="AL8" s="28">
        <f>COUNTIF(F8:AJ8,"W/O")</f>
        <v>0</v>
      </c>
      <c r="AM8" s="28">
        <f t="shared" si="2"/>
        <v>0</v>
      </c>
      <c r="AN8" s="139">
        <f>SUM(AK8:AM9)</f>
        <v>0</v>
      </c>
    </row>
    <row r="9" spans="2:40" ht="24.95" customHeight="1" thickBot="1" x14ac:dyDescent="0.3">
      <c r="B9" s="84"/>
      <c r="C9" s="140"/>
      <c r="D9" s="122"/>
      <c r="E9" s="134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 t="s">
        <v>39</v>
      </c>
      <c r="AK9" s="51">
        <f>COUNTIF(F9:AJ9,"P")</f>
        <v>0</v>
      </c>
      <c r="AL9" s="51">
        <f>COUNTIF(F9:AJ9,"W/O")</f>
        <v>0</v>
      </c>
      <c r="AM9" s="51">
        <f t="shared" si="2"/>
        <v>0</v>
      </c>
      <c r="AN9" s="139"/>
    </row>
    <row r="10" spans="2:40" ht="24.95" customHeight="1" x14ac:dyDescent="0.25">
      <c r="B10" s="82">
        <v>3</v>
      </c>
      <c r="C10" s="118">
        <v>3751</v>
      </c>
      <c r="D10" s="120" t="s">
        <v>36</v>
      </c>
      <c r="E10" s="135" t="s">
        <v>22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 t="s">
        <v>39</v>
      </c>
      <c r="AK10" s="3">
        <f t="shared" ref="AK10:AK12" si="3">COUNTIF(F10:AJ10,"P")</f>
        <v>0</v>
      </c>
      <c r="AL10" s="3">
        <f t="shared" ref="AL10:AL12" si="4">COUNTIF(F10:AJ10,"W/O")</f>
        <v>0</v>
      </c>
      <c r="AM10" s="3">
        <f t="shared" si="2"/>
        <v>0</v>
      </c>
      <c r="AN10" s="137">
        <f>SUM(AK10:AM11)</f>
        <v>0</v>
      </c>
    </row>
    <row r="11" spans="2:40" ht="24.95" customHeight="1" thickBot="1" x14ac:dyDescent="0.3">
      <c r="B11" s="83"/>
      <c r="C11" s="119"/>
      <c r="D11" s="121"/>
      <c r="E11" s="13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 t="s">
        <v>39</v>
      </c>
      <c r="AK11" s="48">
        <f>COUNTIF(F11:AJ11,"P")</f>
        <v>0</v>
      </c>
      <c r="AL11" s="48">
        <f>COUNTIF(F11:AJ11,"W/O")</f>
        <v>0</v>
      </c>
      <c r="AM11" s="48">
        <f t="shared" si="2"/>
        <v>0</v>
      </c>
      <c r="AN11" s="138"/>
    </row>
    <row r="12" spans="2:40" ht="24.95" customHeight="1" x14ac:dyDescent="0.25">
      <c r="B12" s="84">
        <v>4</v>
      </c>
      <c r="C12" s="140">
        <v>3771</v>
      </c>
      <c r="D12" s="122" t="s">
        <v>37</v>
      </c>
      <c r="E12" s="133" t="s">
        <v>22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 t="s">
        <v>39</v>
      </c>
      <c r="AK12" s="28">
        <f t="shared" si="3"/>
        <v>0</v>
      </c>
      <c r="AL12" s="28">
        <f t="shared" si="4"/>
        <v>0</v>
      </c>
      <c r="AM12" s="28">
        <f t="shared" si="2"/>
        <v>0</v>
      </c>
      <c r="AN12" s="139">
        <f>SUM(AK12:AM13)</f>
        <v>0</v>
      </c>
    </row>
    <row r="13" spans="2:40" ht="24.95" customHeight="1" thickBot="1" x14ac:dyDescent="0.3">
      <c r="B13" s="84"/>
      <c r="C13" s="140"/>
      <c r="D13" s="122"/>
      <c r="E13" s="134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 t="s">
        <v>39</v>
      </c>
      <c r="AK13" s="51">
        <f>COUNTIF(F13:AJ13,"P")</f>
        <v>0</v>
      </c>
      <c r="AL13" s="51">
        <f>COUNTIF(F13:AJ13,"W/O")</f>
        <v>0</v>
      </c>
      <c r="AM13" s="51">
        <f t="shared" si="2"/>
        <v>0</v>
      </c>
      <c r="AN13" s="139"/>
    </row>
    <row r="14" spans="2:40" ht="24.95" customHeight="1" x14ac:dyDescent="0.25">
      <c r="B14" s="82">
        <v>5</v>
      </c>
      <c r="C14" s="118">
        <v>3787</v>
      </c>
      <c r="D14" s="120" t="s">
        <v>38</v>
      </c>
      <c r="E14" s="131" t="s">
        <v>22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 t="s">
        <v>39</v>
      </c>
      <c r="AK14" s="3">
        <f t="shared" si="0"/>
        <v>0</v>
      </c>
      <c r="AL14" s="3">
        <f t="shared" si="1"/>
        <v>0</v>
      </c>
      <c r="AM14" s="3">
        <f t="shared" si="2"/>
        <v>0</v>
      </c>
      <c r="AN14" s="137">
        <f>SUM(AK14:AM15)</f>
        <v>0</v>
      </c>
    </row>
    <row r="15" spans="2:40" ht="24.95" customHeight="1" thickBot="1" x14ac:dyDescent="0.3">
      <c r="B15" s="83"/>
      <c r="C15" s="119"/>
      <c r="D15" s="121"/>
      <c r="E15" s="132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 t="s">
        <v>39</v>
      </c>
      <c r="AK15" s="48">
        <f t="shared" si="0"/>
        <v>0</v>
      </c>
      <c r="AL15" s="48">
        <f t="shared" si="1"/>
        <v>0</v>
      </c>
      <c r="AM15" s="48">
        <f t="shared" si="2"/>
        <v>0</v>
      </c>
      <c r="AN15" s="138"/>
    </row>
    <row r="16" spans="2:40" s="7" customFormat="1" ht="24.95" customHeight="1" x14ac:dyDescent="0.25">
      <c r="B16" s="87" t="s">
        <v>10</v>
      </c>
      <c r="C16" s="88"/>
      <c r="D16" s="88"/>
      <c r="E16" s="88"/>
      <c r="F16" s="5">
        <f>COUNTIF(F6:F15,"W/O")</f>
        <v>0</v>
      </c>
      <c r="G16" s="5">
        <f>COUNTIF(G6:G15,"W/O")</f>
        <v>0</v>
      </c>
      <c r="H16" s="5">
        <f t="shared" ref="H16:AJ16" si="5">COUNTIF(H6:H15,"W/O")</f>
        <v>0</v>
      </c>
      <c r="I16" s="5">
        <f t="shared" si="5"/>
        <v>0</v>
      </c>
      <c r="J16" s="5">
        <f t="shared" si="5"/>
        <v>0</v>
      </c>
      <c r="K16" s="5">
        <f t="shared" si="5"/>
        <v>0</v>
      </c>
      <c r="L16" s="5">
        <f t="shared" si="5"/>
        <v>0</v>
      </c>
      <c r="M16" s="5">
        <f t="shared" si="5"/>
        <v>0</v>
      </c>
      <c r="N16" s="5">
        <f t="shared" si="5"/>
        <v>0</v>
      </c>
      <c r="O16" s="5">
        <f t="shared" si="5"/>
        <v>0</v>
      </c>
      <c r="P16" s="5">
        <f t="shared" si="5"/>
        <v>0</v>
      </c>
      <c r="Q16" s="5">
        <f t="shared" si="5"/>
        <v>0</v>
      </c>
      <c r="R16" s="5">
        <f t="shared" si="5"/>
        <v>0</v>
      </c>
      <c r="S16" s="5">
        <f t="shared" si="5"/>
        <v>0</v>
      </c>
      <c r="T16" s="5">
        <f t="shared" si="5"/>
        <v>0</v>
      </c>
      <c r="U16" s="5">
        <f t="shared" si="5"/>
        <v>0</v>
      </c>
      <c r="V16" s="5">
        <f t="shared" si="5"/>
        <v>0</v>
      </c>
      <c r="W16" s="5">
        <f t="shared" si="5"/>
        <v>0</v>
      </c>
      <c r="X16" s="5">
        <f t="shared" si="5"/>
        <v>0</v>
      </c>
      <c r="Y16" s="5">
        <f t="shared" si="5"/>
        <v>0</v>
      </c>
      <c r="Z16" s="5">
        <f t="shared" si="5"/>
        <v>0</v>
      </c>
      <c r="AA16" s="5">
        <f t="shared" si="5"/>
        <v>0</v>
      </c>
      <c r="AB16" s="5">
        <f t="shared" si="5"/>
        <v>0</v>
      </c>
      <c r="AC16" s="5">
        <f t="shared" si="5"/>
        <v>0</v>
      </c>
      <c r="AD16" s="5">
        <f t="shared" si="5"/>
        <v>0</v>
      </c>
      <c r="AE16" s="5">
        <f t="shared" si="5"/>
        <v>0</v>
      </c>
      <c r="AF16" s="5">
        <f t="shared" si="5"/>
        <v>0</v>
      </c>
      <c r="AG16" s="5">
        <f t="shared" si="5"/>
        <v>0</v>
      </c>
      <c r="AH16" s="5">
        <f t="shared" si="5"/>
        <v>0</v>
      </c>
      <c r="AI16" s="5">
        <f t="shared" si="5"/>
        <v>0</v>
      </c>
      <c r="AJ16" s="5">
        <f t="shared" si="5"/>
        <v>0</v>
      </c>
      <c r="AK16" s="15">
        <f>SUM(AK6:AK15)</f>
        <v>0</v>
      </c>
      <c r="AL16" s="15">
        <f>SUM(AL6:AL15)</f>
        <v>0</v>
      </c>
      <c r="AM16" s="28">
        <f t="shared" si="2"/>
        <v>0</v>
      </c>
      <c r="AN16" s="16">
        <f>SUM(AN6:AN15)</f>
        <v>0</v>
      </c>
    </row>
    <row r="17" spans="2:41" s="7" customFormat="1" ht="24.95" customHeight="1" x14ac:dyDescent="0.25">
      <c r="B17" s="89" t="s">
        <v>17</v>
      </c>
      <c r="C17" s="90"/>
      <c r="D17" s="90"/>
      <c r="E17" s="90"/>
      <c r="F17" s="6">
        <f>COUNTIF(F6:F15,"P")</f>
        <v>0</v>
      </c>
      <c r="G17" s="6">
        <f t="shared" ref="G17:AJ17" si="6">COUNTIF(G6:G15,"P")</f>
        <v>0</v>
      </c>
      <c r="H17" s="6">
        <f t="shared" si="6"/>
        <v>0</v>
      </c>
      <c r="I17" s="6">
        <f t="shared" si="6"/>
        <v>0</v>
      </c>
      <c r="J17" s="6">
        <f t="shared" si="6"/>
        <v>0</v>
      </c>
      <c r="K17" s="6">
        <f t="shared" si="6"/>
        <v>0</v>
      </c>
      <c r="L17" s="6">
        <f t="shared" si="6"/>
        <v>0</v>
      </c>
      <c r="M17" s="6">
        <f t="shared" si="6"/>
        <v>0</v>
      </c>
      <c r="N17" s="6">
        <f t="shared" si="6"/>
        <v>0</v>
      </c>
      <c r="O17" s="6">
        <f t="shared" si="6"/>
        <v>0</v>
      </c>
      <c r="P17" s="6">
        <f t="shared" si="6"/>
        <v>0</v>
      </c>
      <c r="Q17" s="6">
        <f t="shared" si="6"/>
        <v>0</v>
      </c>
      <c r="R17" s="6">
        <f t="shared" si="6"/>
        <v>0</v>
      </c>
      <c r="S17" s="6">
        <f t="shared" si="6"/>
        <v>0</v>
      </c>
      <c r="T17" s="6">
        <f t="shared" si="6"/>
        <v>0</v>
      </c>
      <c r="U17" s="6">
        <f t="shared" si="6"/>
        <v>0</v>
      </c>
      <c r="V17" s="6">
        <f t="shared" si="6"/>
        <v>0</v>
      </c>
      <c r="W17" s="6">
        <f t="shared" si="6"/>
        <v>0</v>
      </c>
      <c r="X17" s="6">
        <f t="shared" si="6"/>
        <v>0</v>
      </c>
      <c r="Y17" s="6">
        <f t="shared" si="6"/>
        <v>0</v>
      </c>
      <c r="Z17" s="6">
        <f t="shared" si="6"/>
        <v>0</v>
      </c>
      <c r="AA17" s="6">
        <f t="shared" si="6"/>
        <v>0</v>
      </c>
      <c r="AB17" s="6">
        <f t="shared" si="6"/>
        <v>0</v>
      </c>
      <c r="AC17" s="6">
        <f t="shared" si="6"/>
        <v>0</v>
      </c>
      <c r="AD17" s="6">
        <f t="shared" si="6"/>
        <v>0</v>
      </c>
      <c r="AE17" s="6">
        <f t="shared" si="6"/>
        <v>0</v>
      </c>
      <c r="AF17" s="6">
        <f t="shared" si="6"/>
        <v>0</v>
      </c>
      <c r="AG17" s="6">
        <f t="shared" si="6"/>
        <v>0</v>
      </c>
      <c r="AH17" s="6">
        <f t="shared" si="6"/>
        <v>0</v>
      </c>
      <c r="AI17" s="6">
        <f t="shared" si="6"/>
        <v>0</v>
      </c>
      <c r="AJ17" s="6">
        <f t="shared" si="6"/>
        <v>0</v>
      </c>
      <c r="AK17" s="10">
        <f>SUM(F17:AJ17)</f>
        <v>0</v>
      </c>
      <c r="AL17" s="62" t="s">
        <v>21</v>
      </c>
      <c r="AM17" s="63"/>
      <c r="AN17" s="64"/>
    </row>
    <row r="18" spans="2:41" ht="24.95" customHeight="1" thickBot="1" x14ac:dyDescent="0.3">
      <c r="B18" s="68" t="s">
        <v>14</v>
      </c>
      <c r="C18" s="69"/>
      <c r="D18" s="69"/>
      <c r="E18" s="69"/>
      <c r="F18" s="8">
        <f>SUM(F16:F17)</f>
        <v>0</v>
      </c>
      <c r="G18" s="8">
        <f t="shared" ref="G18:AJ18" si="7">SUM(G16:G17)</f>
        <v>0</v>
      </c>
      <c r="H18" s="8">
        <f t="shared" si="7"/>
        <v>0</v>
      </c>
      <c r="I18" s="8">
        <f t="shared" si="7"/>
        <v>0</v>
      </c>
      <c r="J18" s="8">
        <f t="shared" si="7"/>
        <v>0</v>
      </c>
      <c r="K18" s="8">
        <f t="shared" si="7"/>
        <v>0</v>
      </c>
      <c r="L18" s="8">
        <f t="shared" si="7"/>
        <v>0</v>
      </c>
      <c r="M18" s="8">
        <f t="shared" si="7"/>
        <v>0</v>
      </c>
      <c r="N18" s="8">
        <f t="shared" si="7"/>
        <v>0</v>
      </c>
      <c r="O18" s="8">
        <f t="shared" si="7"/>
        <v>0</v>
      </c>
      <c r="P18" s="8">
        <f t="shared" si="7"/>
        <v>0</v>
      </c>
      <c r="Q18" s="8">
        <f t="shared" si="7"/>
        <v>0</v>
      </c>
      <c r="R18" s="8">
        <f t="shared" si="7"/>
        <v>0</v>
      </c>
      <c r="S18" s="8">
        <f t="shared" si="7"/>
        <v>0</v>
      </c>
      <c r="T18" s="8">
        <f t="shared" si="7"/>
        <v>0</v>
      </c>
      <c r="U18" s="8">
        <f t="shared" si="7"/>
        <v>0</v>
      </c>
      <c r="V18" s="8">
        <f t="shared" si="7"/>
        <v>0</v>
      </c>
      <c r="W18" s="8">
        <f t="shared" si="7"/>
        <v>0</v>
      </c>
      <c r="X18" s="8">
        <f t="shared" si="7"/>
        <v>0</v>
      </c>
      <c r="Y18" s="8">
        <f t="shared" si="7"/>
        <v>0</v>
      </c>
      <c r="Z18" s="8">
        <f t="shared" si="7"/>
        <v>0</v>
      </c>
      <c r="AA18" s="8">
        <f t="shared" si="7"/>
        <v>0</v>
      </c>
      <c r="AB18" s="8">
        <f t="shared" si="7"/>
        <v>0</v>
      </c>
      <c r="AC18" s="8">
        <f t="shared" si="7"/>
        <v>0</v>
      </c>
      <c r="AD18" s="8">
        <f t="shared" si="7"/>
        <v>0</v>
      </c>
      <c r="AE18" s="8">
        <f t="shared" si="7"/>
        <v>0</v>
      </c>
      <c r="AF18" s="8">
        <f t="shared" si="7"/>
        <v>0</v>
      </c>
      <c r="AG18" s="8">
        <f t="shared" si="7"/>
        <v>0</v>
      </c>
      <c r="AH18" s="8">
        <f t="shared" si="7"/>
        <v>0</v>
      </c>
      <c r="AI18" s="8">
        <f t="shared" si="7"/>
        <v>0</v>
      </c>
      <c r="AJ18" s="8">
        <f t="shared" si="7"/>
        <v>0</v>
      </c>
      <c r="AK18" s="11">
        <f>SUM(F18:AJ18)</f>
        <v>0</v>
      </c>
      <c r="AL18" s="65"/>
      <c r="AM18" s="66"/>
      <c r="AN18" s="67"/>
    </row>
    <row r="20" spans="2:41" ht="24.95" customHeight="1" thickBot="1" x14ac:dyDescent="0.3"/>
    <row r="21" spans="2:41" s="29" customFormat="1" ht="24.95" customHeight="1" thickBot="1" x14ac:dyDescent="0.3">
      <c r="B21" s="30" t="s">
        <v>24</v>
      </c>
      <c r="C21" s="99" t="s">
        <v>25</v>
      </c>
      <c r="D21" s="100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141" t="s">
        <v>28</v>
      </c>
      <c r="S21" s="142"/>
      <c r="T21" s="142"/>
      <c r="U21" s="142"/>
      <c r="V21" s="142"/>
      <c r="W21" s="142"/>
      <c r="X21" s="142"/>
      <c r="Y21" s="142"/>
      <c r="Z21" s="143"/>
      <c r="AA21" s="144">
        <f>SUM(AN6:AN15)</f>
        <v>0</v>
      </c>
      <c r="AB21" s="145"/>
      <c r="AC21" s="32"/>
      <c r="AD21" s="32"/>
      <c r="AE21" s="32"/>
      <c r="AF21" s="32"/>
      <c r="AG21" s="32"/>
      <c r="AH21" s="32"/>
      <c r="AI21" s="32"/>
      <c r="AJ21" s="32"/>
      <c r="AK21" s="33"/>
      <c r="AL21" s="34"/>
      <c r="AM21" s="33"/>
      <c r="AN21" s="33"/>
      <c r="AO21" s="33"/>
    </row>
    <row r="22" spans="2:41" s="29" customFormat="1" ht="24.95" customHeight="1" thickBot="1" x14ac:dyDescent="0.3">
      <c r="B22" s="52" t="s">
        <v>1</v>
      </c>
      <c r="C22" s="129" t="s">
        <v>10</v>
      </c>
      <c r="D22" s="130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146" t="s">
        <v>31</v>
      </c>
      <c r="S22" s="147"/>
      <c r="T22" s="147"/>
      <c r="U22" s="147"/>
      <c r="V22" s="147"/>
      <c r="W22" s="147"/>
      <c r="X22" s="147"/>
      <c r="Y22" s="41">
        <v>5</v>
      </c>
      <c r="Z22" s="42">
        <v>31</v>
      </c>
      <c r="AA22" s="148">
        <f>Y22*Z22</f>
        <v>155</v>
      </c>
      <c r="AB22" s="149"/>
      <c r="AC22" s="37"/>
      <c r="AD22" s="32"/>
      <c r="AE22" s="32"/>
      <c r="AF22" s="32"/>
      <c r="AG22" s="32"/>
      <c r="AH22" s="32"/>
      <c r="AI22" s="32"/>
      <c r="AJ22" s="32"/>
      <c r="AK22" s="33"/>
      <c r="AL22" s="34"/>
      <c r="AM22" s="33"/>
      <c r="AN22" s="33"/>
      <c r="AO22" s="33"/>
    </row>
    <row r="23" spans="2:41" s="29" customFormat="1" ht="24.95" customHeight="1" thickBot="1" x14ac:dyDescent="0.3">
      <c r="B23" s="40" t="s">
        <v>23</v>
      </c>
      <c r="C23" s="116" t="s">
        <v>40</v>
      </c>
      <c r="D23" s="117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150" t="s">
        <v>33</v>
      </c>
      <c r="S23" s="151"/>
      <c r="T23" s="151"/>
      <c r="U23" s="151"/>
      <c r="V23" s="151"/>
      <c r="W23" s="151"/>
      <c r="X23" s="151"/>
      <c r="Y23" s="151"/>
      <c r="Z23" s="152"/>
      <c r="AA23" s="153">
        <f>AA22-AA21</f>
        <v>155</v>
      </c>
      <c r="AB23" s="154"/>
      <c r="AC23" s="38"/>
      <c r="AD23" s="37"/>
      <c r="AE23" s="32"/>
      <c r="AF23" s="32"/>
      <c r="AG23" s="32"/>
      <c r="AH23" s="32"/>
      <c r="AI23" s="32"/>
      <c r="AJ23" s="32"/>
      <c r="AK23" s="33"/>
      <c r="AL23" s="33"/>
      <c r="AM23" s="33"/>
      <c r="AN23" s="33"/>
      <c r="AO23" s="33"/>
    </row>
    <row r="24" spans="2:41" s="29" customFormat="1" ht="24.95" customHeight="1" thickBot="1" x14ac:dyDescent="0.3">
      <c r="B24" s="35" t="s">
        <v>26</v>
      </c>
      <c r="C24" s="91" t="s">
        <v>27</v>
      </c>
      <c r="D24" s="92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155" t="s">
        <v>32</v>
      </c>
      <c r="S24" s="156"/>
      <c r="T24" s="156"/>
      <c r="U24" s="156"/>
      <c r="V24" s="156"/>
      <c r="W24" s="156"/>
      <c r="X24" s="156"/>
      <c r="Y24" s="156"/>
      <c r="Z24" s="157"/>
      <c r="AA24" s="114">
        <f>AA21/AA22*100</f>
        <v>0</v>
      </c>
      <c r="AB24" s="115"/>
      <c r="AD24" s="38"/>
      <c r="AE24" s="38"/>
      <c r="AF24" s="38"/>
      <c r="AG24" s="38"/>
      <c r="AH24" s="38"/>
      <c r="AI24" s="38"/>
      <c r="AJ24" s="38"/>
      <c r="AK24" s="33"/>
      <c r="AL24" s="33"/>
      <c r="AM24" s="33"/>
      <c r="AN24" s="33"/>
      <c r="AO24" s="33"/>
    </row>
    <row r="25" spans="2:41" s="29" customFormat="1" ht="24.95" customHeight="1" thickBot="1" x14ac:dyDescent="0.3">
      <c r="B25" s="36" t="s">
        <v>26</v>
      </c>
      <c r="C25" s="91" t="s">
        <v>29</v>
      </c>
      <c r="D25" s="92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45"/>
      <c r="X25" s="45"/>
      <c r="Y25" s="45"/>
      <c r="Z25" s="45"/>
      <c r="AA25" s="45"/>
      <c r="AB25" s="45"/>
      <c r="AC25" s="43"/>
      <c r="AE25" s="37"/>
      <c r="AF25" s="37"/>
      <c r="AG25" s="37"/>
      <c r="AH25" s="37"/>
      <c r="AI25" s="37"/>
      <c r="AJ25" s="37"/>
      <c r="AK25" s="39"/>
      <c r="AL25" s="39"/>
      <c r="AM25" s="39"/>
      <c r="AN25" s="39"/>
      <c r="AO25" s="39"/>
    </row>
    <row r="26" spans="2:41" s="29" customFormat="1" ht="24.95" customHeight="1" thickBot="1" x14ac:dyDescent="0.3">
      <c r="B26" s="30"/>
      <c r="C26" s="93" t="s">
        <v>30</v>
      </c>
      <c r="D26" s="94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45"/>
      <c r="X26" s="45"/>
      <c r="Y26" s="45"/>
      <c r="Z26" s="45"/>
      <c r="AA26" s="45"/>
      <c r="AB26" s="45"/>
      <c r="AC26" s="45"/>
      <c r="AD26" s="43"/>
      <c r="AE26" s="37"/>
      <c r="AF26" s="37"/>
      <c r="AG26" s="37"/>
      <c r="AH26" s="37"/>
      <c r="AI26" s="37"/>
      <c r="AJ26" s="37"/>
      <c r="AK26" s="39"/>
      <c r="AL26" s="39"/>
      <c r="AM26" s="39"/>
      <c r="AN26" s="39"/>
      <c r="AO26" s="39"/>
    </row>
    <row r="27" spans="2:41" s="29" customFormat="1" ht="24.95" customHeight="1" x14ac:dyDescent="0.25"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45"/>
      <c r="AD27" s="45"/>
      <c r="AE27" s="45"/>
      <c r="AF27" s="45"/>
      <c r="AG27" s="45"/>
      <c r="AH27" s="45"/>
      <c r="AI27" s="45"/>
      <c r="AJ27" s="45"/>
      <c r="AK27" s="33"/>
      <c r="AL27" s="33"/>
      <c r="AM27" s="33"/>
      <c r="AN27" s="33"/>
      <c r="AO27" s="33"/>
    </row>
    <row r="28" spans="2:41" s="29" customFormat="1" ht="24.95" customHeight="1" x14ac:dyDescent="0.25">
      <c r="B28" s="7"/>
      <c r="C28" s="1"/>
      <c r="D28" s="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45"/>
      <c r="AE28" s="45"/>
      <c r="AF28" s="45"/>
      <c r="AG28" s="45"/>
      <c r="AH28" s="45"/>
      <c r="AI28" s="45"/>
      <c r="AJ28" s="45"/>
      <c r="AK28" s="33"/>
      <c r="AL28" s="33"/>
      <c r="AM28" s="33"/>
      <c r="AN28" s="33"/>
      <c r="AO28" s="33"/>
    </row>
    <row r="29" spans="2:41" ht="24.95" customHeight="1" x14ac:dyDescent="0.25">
      <c r="B29" s="31"/>
      <c r="C29" s="31"/>
      <c r="D29" s="44"/>
    </row>
    <row r="30" spans="2:41" ht="24.95" customHeight="1" x14ac:dyDescent="0.25">
      <c r="B30" s="31"/>
      <c r="C30" s="31"/>
      <c r="D30" s="44"/>
    </row>
  </sheetData>
  <mergeCells count="49">
    <mergeCell ref="C24:D24"/>
    <mergeCell ref="R24:Z24"/>
    <mergeCell ref="AA24:AB24"/>
    <mergeCell ref="C25:D25"/>
    <mergeCell ref="C26:D26"/>
    <mergeCell ref="C22:D22"/>
    <mergeCell ref="R22:X22"/>
    <mergeCell ref="AA22:AB22"/>
    <mergeCell ref="C23:D23"/>
    <mergeCell ref="R23:Z23"/>
    <mergeCell ref="AA23:AB23"/>
    <mergeCell ref="B16:E16"/>
    <mergeCell ref="B17:E17"/>
    <mergeCell ref="AL17:AN18"/>
    <mergeCell ref="B18:E18"/>
    <mergeCell ref="C21:D21"/>
    <mergeCell ref="R21:Z21"/>
    <mergeCell ref="AA21:AB21"/>
    <mergeCell ref="B14:B15"/>
    <mergeCell ref="C14:C15"/>
    <mergeCell ref="D14:D15"/>
    <mergeCell ref="E14:E15"/>
    <mergeCell ref="AN14:AN15"/>
    <mergeCell ref="B10:B11"/>
    <mergeCell ref="C10:C11"/>
    <mergeCell ref="D10:D11"/>
    <mergeCell ref="E10:E11"/>
    <mergeCell ref="AN10:AN11"/>
    <mergeCell ref="B12:B13"/>
    <mergeCell ref="C12:C13"/>
    <mergeCell ref="D12:D13"/>
    <mergeCell ref="E12:E13"/>
    <mergeCell ref="AN12:AN13"/>
    <mergeCell ref="B6:B7"/>
    <mergeCell ref="C6:C7"/>
    <mergeCell ref="D6:D7"/>
    <mergeCell ref="E6:E7"/>
    <mergeCell ref="AN6:AN7"/>
    <mergeCell ref="B8:B9"/>
    <mergeCell ref="C8:C9"/>
    <mergeCell ref="D8:D9"/>
    <mergeCell ref="E8:E9"/>
    <mergeCell ref="AN8:AN9"/>
    <mergeCell ref="B2:AN2"/>
    <mergeCell ref="B3:AN3"/>
    <mergeCell ref="B4:B5"/>
    <mergeCell ref="C4:C5"/>
    <mergeCell ref="D4:D5"/>
    <mergeCell ref="E4:E5"/>
  </mergeCells>
  <phoneticPr fontId="2" type="noConversion"/>
  <conditionalFormatting sqref="B23">
    <cfRule type="containsText" dxfId="7" priority="3" stopIfTrue="1" operator="containsText" text="HD">
      <formula>NOT(ISERROR(SEARCH("HD",B23)))</formula>
    </cfRule>
    <cfRule type="containsText" dxfId="6" priority="4" operator="containsText" text="A">
      <formula>NOT(ISERROR(SEARCH("A",B23)))</formula>
    </cfRule>
    <cfRule type="containsText" dxfId="5" priority="5" operator="containsText" text="WO">
      <formula>NOT(ISERROR(SEARCH("WO",B23)))</formula>
    </cfRule>
  </conditionalFormatting>
  <conditionalFormatting sqref="F6:AJ15">
    <cfRule type="containsText" dxfId="4" priority="1" operator="containsText" text="HD">
      <formula>NOT(ISERROR(SEARCH("HD",F6)))</formula>
    </cfRule>
    <cfRule type="containsText" dxfId="3" priority="2" operator="containsText" text="A">
      <formula>NOT(ISERROR(SEARCH("A",F6)))</formula>
    </cfRule>
    <cfRule type="cellIs" dxfId="2" priority="8" stopIfTrue="1" operator="equal">
      <formula>"W/O"</formula>
    </cfRule>
  </conditionalFormatting>
  <conditionalFormatting sqref="F17:AJ17">
    <cfRule type="cellIs" dxfId="1" priority="6" stopIfTrue="1" operator="equal">
      <formula>5</formula>
    </cfRule>
    <cfRule type="cellIs" dxfId="0" priority="7" operator="lessThan">
      <formula>4</formula>
    </cfRule>
  </conditionalFormatting>
  <pageMargins left="0.25" right="0.25" top="0.25" bottom="0.25" header="0.05" footer="0.05"/>
  <pageSetup scale="50" orientation="landscape" r:id="rId1"/>
  <colBreaks count="1" manualBreakCount="1"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HK OCT-25</vt:lpstr>
      <vt:lpstr>KEY OCT-25 (2)</vt:lpstr>
      <vt:lpstr>NOV-25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bhise</dc:creator>
  <cp:lastModifiedBy>maheshthakurharishankar@gmail.com</cp:lastModifiedBy>
  <cp:lastPrinted>2025-11-23T12:21:44Z</cp:lastPrinted>
  <dcterms:created xsi:type="dcterms:W3CDTF">2021-07-28T15:03:53Z</dcterms:created>
  <dcterms:modified xsi:type="dcterms:W3CDTF">2025-11-23T12:31:30Z</dcterms:modified>
</cp:coreProperties>
</file>